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UNC/LCA/"/>
    </mc:Choice>
  </mc:AlternateContent>
  <xr:revisionPtr revIDLastSave="0" documentId="8_{DA70F1E6-EADD-4DDA-8CF6-02832A988474}" xr6:coauthVersionLast="47" xr6:coauthVersionMax="47" xr10:uidLastSave="{00000000-0000-0000-0000-000000000000}"/>
  <bookViews>
    <workbookView xWindow="-110" yWindow="-110" windowWidth="19420" windowHeight="11500" xr2:uid="{D64915B1-755C-4FF6-AD91-B5AEFD276ED4}"/>
  </bookViews>
  <sheets>
    <sheet name="Sample Descriptives" sheetId="2" r:id="rId1"/>
    <sheet name="Urban Rural Status Transitions" sheetId="1" r:id="rId2"/>
    <sheet name="Setting Transitions" sheetId="3" r:id="rId3"/>
    <sheet name="Specialty Transitions" sheetId="4" r:id="rId4"/>
    <sheet name="Descriptive Stats 09 by LC" sheetId="5" r:id="rId5"/>
    <sheet name="Descriptive Stats 19 by L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" l="1"/>
</calcChain>
</file>

<file path=xl/sharedStrings.xml><?xml version="1.0" encoding="utf-8"?>
<sst xmlns="http://schemas.openxmlformats.org/spreadsheetml/2006/main" count="858" uniqueCount="589">
  <si>
    <t>Urban in 2019</t>
  </si>
  <si>
    <t>Large Rural in 2019</t>
  </si>
  <si>
    <t>Small Rural in 2019</t>
  </si>
  <si>
    <t>Missing in 2019</t>
  </si>
  <si>
    <t>2009 Total</t>
  </si>
  <si>
    <t>Urban in 2009</t>
  </si>
  <si>
    <t>Large Rural in 2009</t>
  </si>
  <si>
    <t>Small Rural in 2009</t>
  </si>
  <si>
    <t>Missing  in 2009</t>
  </si>
  <si>
    <t>2019 Total</t>
  </si>
  <si>
    <t>Variable</t>
  </si>
  <si>
    <t>8% (N = 318)</t>
  </si>
  <si>
    <t>22% (N = 735)</t>
  </si>
  <si>
    <t>6% (N = 268)</t>
  </si>
  <si>
    <t>0% (N = 0)</t>
  </si>
  <si>
    <t>26% (N = 1075)</t>
  </si>
  <si>
    <t>27% (N = 908)</t>
  </si>
  <si>
    <t>39% (N = 1808)</t>
  </si>
  <si>
    <t>21% (N = 971)</t>
  </si>
  <si>
    <t>24% (N = 980)</t>
  </si>
  <si>
    <t>11% (N = 376)</t>
  </si>
  <si>
    <t>28% (N = 1283)</t>
  </si>
  <si>
    <t>25% (N = 1008)</t>
  </si>
  <si>
    <t>10% (N = 324)</t>
  </si>
  <si>
    <t>12% (N = 553)</t>
  </si>
  <si>
    <t>40% (N = 1836)</t>
  </si>
  <si>
    <t>17% (N = 688)</t>
  </si>
  <si>
    <t>29% (N = 967)</t>
  </si>
  <si>
    <t>15% (N = 703)</t>
  </si>
  <si>
    <t>4.8 (3)</t>
  </si>
  <si>
    <t>4.4 (3)</t>
  </si>
  <si>
    <t>4.6 (3)</t>
  </si>
  <si>
    <t>4.5 (3)</t>
  </si>
  <si>
    <t>47.9 (12.3)</t>
  </si>
  <si>
    <t>40.8 (10.9)</t>
  </si>
  <si>
    <t>45.3 (9.2)</t>
  </si>
  <si>
    <t>55.3 (9.2)</t>
  </si>
  <si>
    <t>19% (N = 792)</t>
  </si>
  <si>
    <t>39% (N = 1302)</t>
  </si>
  <si>
    <t>15% (N = 697)</t>
  </si>
  <si>
    <t>27% (N = 1108)</t>
  </si>
  <si>
    <t>36% (N = 1198)</t>
  </si>
  <si>
    <t>39% (N = 1796)</t>
  </si>
  <si>
    <t>24% (N = 981)</t>
  </si>
  <si>
    <t>13% (N = 415)</t>
  </si>
  <si>
    <t>32% (N = 1462)</t>
  </si>
  <si>
    <t>21% (N = 866)</t>
  </si>
  <si>
    <t>8% (N = 254)</t>
  </si>
  <si>
    <t>12% (N = 575)</t>
  </si>
  <si>
    <t>8% (N = 338)</t>
  </si>
  <si>
    <t>4% (N = 143)</t>
  </si>
  <si>
    <t>2% (N = 87)</t>
  </si>
  <si>
    <t>14% (N = 662)</t>
  </si>
  <si>
    <t>1% (N = 26)</t>
  </si>
  <si>
    <t>0% (N = 14)</t>
  </si>
  <si>
    <t>1% (N = 34)</t>
  </si>
  <si>
    <t>11% (N = 432)</t>
  </si>
  <si>
    <t>12% (N = 408)</t>
  </si>
  <si>
    <t>9% (N = 427)</t>
  </si>
  <si>
    <t>10% (N = 404)</t>
  </si>
  <si>
    <t>11% (N = 378)</t>
  </si>
  <si>
    <t>11% (N = 521)</t>
  </si>
  <si>
    <t>0% (N = 10)</t>
  </si>
  <si>
    <t>0% (N = 12)</t>
  </si>
  <si>
    <t>35% (N = 1448)</t>
  </si>
  <si>
    <t>60% (N = 1984)</t>
  </si>
  <si>
    <t>43% (N = 1985)</t>
  </si>
  <si>
    <t>3% (N = 140)</t>
  </si>
  <si>
    <t>1% (N = 42)</t>
  </si>
  <si>
    <t>0% (N = 8)</t>
  </si>
  <si>
    <t>27% (N = 1268)</t>
  </si>
  <si>
    <t>22% (N = 916)</t>
  </si>
  <si>
    <t>4% (N = 127)</t>
  </si>
  <si>
    <t>17% (N = 784)</t>
  </si>
  <si>
    <t>23% (N = 947)</t>
  </si>
  <si>
    <t>8% (N = 276)</t>
  </si>
  <si>
    <t>33% (N = 1514)</t>
  </si>
  <si>
    <t>13% (N = 513)</t>
  </si>
  <si>
    <t>2% (N = 50)</t>
  </si>
  <si>
    <t>3% (N = 152)</t>
  </si>
  <si>
    <t>42% (N = 1701)</t>
  </si>
  <si>
    <t>35% (N = 1174)</t>
  </si>
  <si>
    <t>47% (N = 2166)</t>
  </si>
  <si>
    <t>51% (N = 1685)</t>
  </si>
  <si>
    <t>0% (N = 1)</t>
  </si>
  <si>
    <t>27% (N = 1115)</t>
  </si>
  <si>
    <t>35% (N = 1169)</t>
  </si>
  <si>
    <t>37% (N = 1714)</t>
  </si>
  <si>
    <t>36% (N = 1658)</t>
  </si>
  <si>
    <t>3% (N = 98)</t>
  </si>
  <si>
    <t>1% (N = 30)</t>
  </si>
  <si>
    <t>44% (N = 1803)</t>
  </si>
  <si>
    <t>27% (N = 889)</t>
  </si>
  <si>
    <t>25% (N = 1173)</t>
  </si>
  <si>
    <t>11% (N = 457)</t>
  </si>
  <si>
    <t>15% (N = 496)</t>
  </si>
  <si>
    <t>15% (N = 670)</t>
  </si>
  <si>
    <t>14% (N = 665)</t>
  </si>
  <si>
    <t>17% (N = 698)</t>
  </si>
  <si>
    <t>20% (N = 660)</t>
  </si>
  <si>
    <t>20% (N = 932)</t>
  </si>
  <si>
    <t>21% (N = 969)</t>
  </si>
  <si>
    <t>5% (N = 157)</t>
  </si>
  <si>
    <t>4% (N = 164)</t>
  </si>
  <si>
    <t>5% (N = 217)</t>
  </si>
  <si>
    <t>5% (N = 158)</t>
  </si>
  <si>
    <t>5% (N = 243)</t>
  </si>
  <si>
    <t>5% (N = 233)</t>
  </si>
  <si>
    <t>3% (N = 110)</t>
  </si>
  <si>
    <t>3% (N = 156)</t>
  </si>
  <si>
    <t>4% (N = 167)</t>
  </si>
  <si>
    <t>91% (N = 3728)</t>
  </si>
  <si>
    <t>92% (N = 3034)</t>
  </si>
  <si>
    <t>91% (N = 4218)</t>
  </si>
  <si>
    <t>91% (N = 4217)</t>
  </si>
  <si>
    <t>1% (N = 46)</t>
  </si>
  <si>
    <t>7% (N = 276)</t>
  </si>
  <si>
    <t>16% (N = 474)</t>
  </si>
  <si>
    <t>13% (N = 592)</t>
  </si>
  <si>
    <t>10% (N = 477)</t>
  </si>
  <si>
    <t>4% (N = 152)</t>
  </si>
  <si>
    <t>3% (N = 102)</t>
  </si>
  <si>
    <t>2% (N = 105)</t>
  </si>
  <si>
    <t>39.3 (16.6)</t>
  </si>
  <si>
    <t>38.1 (15.4)</t>
  </si>
  <si>
    <t>41.9 (13.9)</t>
  </si>
  <si>
    <t>38.5 (15.4)</t>
  </si>
  <si>
    <t>21.3 (12.4)</t>
  </si>
  <si>
    <t>13.7 (10.8)</t>
  </si>
  <si>
    <t>18.8 (9.3)</t>
  </si>
  <si>
    <t>28.8 (9.3)</t>
  </si>
  <si>
    <t>10% (N = 380)</t>
  </si>
  <si>
    <t>19% (N = 577)</t>
  </si>
  <si>
    <t>16% (N = 730)</t>
  </si>
  <si>
    <t>13% (N = 590)</t>
  </si>
  <si>
    <t>1% (N = 28)</t>
  </si>
  <si>
    <t>8% (N = 257)</t>
  </si>
  <si>
    <t>14% (N = 561)</t>
  </si>
  <si>
    <t>11% (N = 348)</t>
  </si>
  <si>
    <t>14% (N = 641)</t>
  </si>
  <si>
    <t>13% (N = 596)</t>
  </si>
  <si>
    <t>6% (N = 245)</t>
  </si>
  <si>
    <t>4% (N = 130)</t>
  </si>
  <si>
    <t>5% (N = 253)</t>
  </si>
  <si>
    <t>5% (N = 237)</t>
  </si>
  <si>
    <t>80% (N = 3279)</t>
  </si>
  <si>
    <t>86% (N = 2824)</t>
  </si>
  <si>
    <t>81% (N = 3723)</t>
  </si>
  <si>
    <t>82% (N = 3783)</t>
  </si>
  <si>
    <t>20% (N = 797)</t>
  </si>
  <si>
    <t>17% (N = 568)</t>
  </si>
  <si>
    <t>14% (N = 658)</t>
  </si>
  <si>
    <t>14% (N = 646)</t>
  </si>
  <si>
    <t>24% (N = 956)</t>
  </si>
  <si>
    <t>21% (N = 694)</t>
  </si>
  <si>
    <t>33% (N = 1504)</t>
  </si>
  <si>
    <t>33% (N = 1501)</t>
  </si>
  <si>
    <t>1% (N = 60)</t>
  </si>
  <si>
    <t>2% (N = 52)</t>
  </si>
  <si>
    <t>2% (N = 70)</t>
  </si>
  <si>
    <t>55% (N = 2224)</t>
  </si>
  <si>
    <t>60% (N = 1995)</t>
  </si>
  <si>
    <t>52% (N = 2385)</t>
  </si>
  <si>
    <t>52% (N = 2400)</t>
  </si>
  <si>
    <t>38% (N = 1569)</t>
  </si>
  <si>
    <t>44% (N = 1462)</t>
  </si>
  <si>
    <t>66% (N = 3037)</t>
  </si>
  <si>
    <t>62% (N = 2844)</t>
  </si>
  <si>
    <t>31% (N = 1261)</t>
  </si>
  <si>
    <t>28% (N = 941)</t>
  </si>
  <si>
    <t>11% (N = 489)</t>
  </si>
  <si>
    <t>11% (N = 502)</t>
  </si>
  <si>
    <t>12% (N = 474)</t>
  </si>
  <si>
    <t>4% (N = 174)</t>
  </si>
  <si>
    <t>3% (N = 138)</t>
  </si>
  <si>
    <t>8% (N = 313)</t>
  </si>
  <si>
    <t>12% (N = 383)</t>
  </si>
  <si>
    <t>4% (N = 190)</t>
  </si>
  <si>
    <t>2% (N = 77)</t>
  </si>
  <si>
    <t>2% (N = 80)</t>
  </si>
  <si>
    <t>9% (N = 296)</t>
  </si>
  <si>
    <t>1% (N = 33)</t>
  </si>
  <si>
    <t>8% (N = 382)</t>
  </si>
  <si>
    <t>9% (N = 358)</t>
  </si>
  <si>
    <t>2% (N = 82)</t>
  </si>
  <si>
    <t>13% (N = 605)</t>
  </si>
  <si>
    <t>10% (N = 484)</t>
  </si>
  <si>
    <t>71% (N = 2903)</t>
  </si>
  <si>
    <t>60% (N = 1996)</t>
  </si>
  <si>
    <t>73% (N = 3356)</t>
  </si>
  <si>
    <t>Both years in 2009 and 2019 (N = 4,617)</t>
  </si>
  <si>
    <t>2009 Descriptive Statistics</t>
  </si>
  <si>
    <t>2019 Descriptive Statistics</t>
  </si>
  <si>
    <t>Age - Mean (std)</t>
  </si>
  <si>
    <t>Age</t>
  </si>
  <si>
    <t>36 to 45</t>
  </si>
  <si>
    <t xml:space="preserve">46 to 55 </t>
  </si>
  <si>
    <t>56 to 65</t>
  </si>
  <si>
    <t xml:space="preserve">66 + </t>
  </si>
  <si>
    <t>35 and below</t>
  </si>
  <si>
    <t>2009 only              (N = 4,085)</t>
  </si>
  <si>
    <t>% Female</t>
  </si>
  <si>
    <t>Racial/ethnic identity</t>
  </si>
  <si>
    <t>Non-Hispanic White</t>
  </si>
  <si>
    <t>Non-Hispanic Black</t>
  </si>
  <si>
    <t>American Indian/Alaskan Native</t>
  </si>
  <si>
    <t>Asian/Pacific Islander</t>
  </si>
  <si>
    <t>Hispanic</t>
  </si>
  <si>
    <t>Other</t>
  </si>
  <si>
    <t>Unknown</t>
  </si>
  <si>
    <t>HPSA</t>
  </si>
  <si>
    <t>Part HPSA</t>
  </si>
  <si>
    <t>Not HPSA</t>
  </si>
  <si>
    <t>Full HSPA</t>
  </si>
  <si>
    <t>Specialty</t>
  </si>
  <si>
    <t>General pediatrics</t>
  </si>
  <si>
    <t>General obstetrics and gynecology</t>
  </si>
  <si>
    <t>General internal medicine</t>
  </si>
  <si>
    <t>Geriatrics</t>
  </si>
  <si>
    <t>Family Medicine</t>
  </si>
  <si>
    <t>Employment Setting</t>
  </si>
  <si>
    <t>Ambulatory care</t>
  </si>
  <si>
    <t>Hospital</t>
  </si>
  <si>
    <t xml:space="preserve">Medical school/parent university </t>
  </si>
  <si>
    <t>Missing</t>
  </si>
  <si>
    <t>Nursing home/extended care</t>
  </si>
  <si>
    <t>Solo practitioner</t>
  </si>
  <si>
    <t>Providing routine obstetric
deliveries</t>
  </si>
  <si>
    <t>Providing routine prenatal care</t>
  </si>
  <si>
    <t>Practice characteristics</t>
  </si>
  <si>
    <t>Urban</t>
  </si>
  <si>
    <t>Large rural</t>
  </si>
  <si>
    <t>Small rural</t>
  </si>
  <si>
    <t>Urban/rural status</t>
  </si>
  <si>
    <t>Generational Cohort</t>
  </si>
  <si>
    <t>Gen Y (1981-2000)</t>
  </si>
  <si>
    <t>Gen X (1965-1980)</t>
  </si>
  <si>
    <t>WWII (1928-1945)</t>
  </si>
  <si>
    <t>Baby boomer, trailing edge (1955-1964)</t>
  </si>
  <si>
    <t>Baby boomer, leading edge (1946-1954)</t>
  </si>
  <si>
    <t>ADI - State</t>
  </si>
  <si>
    <t>Average years of practice (STD)</t>
  </si>
  <si>
    <t>Medical school</t>
  </si>
  <si>
    <t>Avg patient-care hours per week</t>
  </si>
  <si>
    <t>Years Since Medical School</t>
  </si>
  <si>
    <t>0 to 5</t>
  </si>
  <si>
    <t>11 to 20</t>
  </si>
  <si>
    <t>21 to 30</t>
  </si>
  <si>
    <t xml:space="preserve">31 + </t>
  </si>
  <si>
    <t>6 to 10</t>
  </si>
  <si>
    <t xml:space="preserve">Ambulatory Care in 2009 </t>
  </si>
  <si>
    <t xml:space="preserve">Hospital in 2009 </t>
  </si>
  <si>
    <t xml:space="preserve">Medical School in 2009 </t>
  </si>
  <si>
    <t xml:space="preserve">Nursing Home in 2009 </t>
  </si>
  <si>
    <t xml:space="preserve">Solo Practitioner in 2009 </t>
  </si>
  <si>
    <t xml:space="preserve">Other in 2009 </t>
  </si>
  <si>
    <t xml:space="preserve">Missing in 2009 </t>
  </si>
  <si>
    <t>Ambulatory Care  in 2019</t>
  </si>
  <si>
    <t>Hospital  in 2019</t>
  </si>
  <si>
    <t>Medical School  in 2019</t>
  </si>
  <si>
    <t>Nursing Home  in 2019</t>
  </si>
  <si>
    <t>Solo Practitioner  in 2019</t>
  </si>
  <si>
    <t>Other  in 2019</t>
  </si>
  <si>
    <t>Missing  in 2019</t>
  </si>
  <si>
    <t>Family Medicine in 2009</t>
  </si>
  <si>
    <t>General Internal Medicine in 2009</t>
  </si>
  <si>
    <t>General Obstetrics and Gynecology in 2009</t>
  </si>
  <si>
    <t>General Pediatrics in 2009</t>
  </si>
  <si>
    <t>Geriatrics in 2009</t>
  </si>
  <si>
    <t>Missing in 2009</t>
  </si>
  <si>
    <t>Family Medicine in 2019</t>
  </si>
  <si>
    <t>General Internal Medicine in 2019</t>
  </si>
  <si>
    <t>General Obstetrics and Gynecology in 2019</t>
  </si>
  <si>
    <t>General Pediatrics in 2019</t>
  </si>
  <si>
    <t>Geriatrics in 2019</t>
  </si>
  <si>
    <t>4% (N = 34)</t>
  </si>
  <si>
    <t>5% (N = 33)</t>
  </si>
  <si>
    <t>6% (N = 132)</t>
  </si>
  <si>
    <t>6% (N = 69)</t>
  </si>
  <si>
    <t>35% (N = 280)</t>
  </si>
  <si>
    <t>43% (N = 280)</t>
  </si>
  <si>
    <t>42% (N = 866)</t>
  </si>
  <si>
    <t>34% (N = 382)</t>
  </si>
  <si>
    <t>30% (N = 235)</t>
  </si>
  <si>
    <t>27% (N = 180)</t>
  </si>
  <si>
    <t>26% (N = 533)</t>
  </si>
  <si>
    <t>30% (N = 335)</t>
  </si>
  <si>
    <t>17% (N = 135)</t>
  </si>
  <si>
    <t>10% (N = 64)</t>
  </si>
  <si>
    <t>8% (N = 173)</t>
  </si>
  <si>
    <t>16% (N = 181)</t>
  </si>
  <si>
    <t>14% (N = 107)</t>
  </si>
  <si>
    <t>15% (N = 99)</t>
  </si>
  <si>
    <t>17% (N = 346)</t>
  </si>
  <si>
    <t>14% (N = 151)</t>
  </si>
  <si>
    <t>6.6 (2.6)</t>
  </si>
  <si>
    <t>4.3 (3)</t>
  </si>
  <si>
    <t>4.1 (2.8)</t>
  </si>
  <si>
    <t>4.5 (2.9)</t>
  </si>
  <si>
    <t>47.4 (9.6)</t>
  </si>
  <si>
    <t>44.9 (9)</t>
  </si>
  <si>
    <t>44 (8.6)</t>
  </si>
  <si>
    <t>46.4 (9.7)</t>
  </si>
  <si>
    <t>12% (N = 98)</t>
  </si>
  <si>
    <t>15% (N = 96)</t>
  </si>
  <si>
    <t>16% (N = 338)</t>
  </si>
  <si>
    <t>15% (N = 165)</t>
  </si>
  <si>
    <t>32% (N = 250)</t>
  </si>
  <si>
    <t>42% (N = 276)</t>
  </si>
  <si>
    <t>44% (N = 895)</t>
  </si>
  <si>
    <t>34% (N = 375)</t>
  </si>
  <si>
    <t>36% (N = 281)</t>
  </si>
  <si>
    <t>30% (N = 199)</t>
  </si>
  <si>
    <t>30% (N = 610)</t>
  </si>
  <si>
    <t>33% (N = 372)</t>
  </si>
  <si>
    <t>18% (N = 139)</t>
  </si>
  <si>
    <t>11% (N = 71)</t>
  </si>
  <si>
    <t>9% (N = 190)</t>
  </si>
  <si>
    <t>16% (N = 175)</t>
  </si>
  <si>
    <t>3% (N = 23)</t>
  </si>
  <si>
    <t>2% (N = 14)</t>
  </si>
  <si>
    <t>1% (N = 18)</t>
  </si>
  <si>
    <t>3% (N = 32)</t>
  </si>
  <si>
    <t>2% (N = 15)</t>
  </si>
  <si>
    <t>1% (N = 6)</t>
  </si>
  <si>
    <t>0% (N = 3)</t>
  </si>
  <si>
    <t>10% (N = 79)</t>
  </si>
  <si>
    <t>4% (N = 24)</t>
  </si>
  <si>
    <t>9% (N = 175)</t>
  </si>
  <si>
    <t>13% (N = 149)</t>
  </si>
  <si>
    <t>10% (N = 82)</t>
  </si>
  <si>
    <t>13% (N = 83)</t>
  </si>
  <si>
    <t>9% (N = 189)</t>
  </si>
  <si>
    <t>15% (N = 167)</t>
  </si>
  <si>
    <t>1% (N = 9)</t>
  </si>
  <si>
    <t>0% (N = 2)</t>
  </si>
  <si>
    <t>0% (N = 5)</t>
  </si>
  <si>
    <t>34% (N = 266)</t>
  </si>
  <si>
    <t>50% (N = 331)</t>
  </si>
  <si>
    <t>45% (N = 926)</t>
  </si>
  <si>
    <t>41% (N = 462)</t>
  </si>
  <si>
    <t>3% (N = 20)</t>
  </si>
  <si>
    <t>2% (N = 45)</t>
  </si>
  <si>
    <t>13% (N = 84)</t>
  </si>
  <si>
    <t>2% (N = 16)</t>
  </si>
  <si>
    <t>1% (N = 13)</t>
  </si>
  <si>
    <t>24% (N = 190)</t>
  </si>
  <si>
    <t>13% (N = 268)</t>
  </si>
  <si>
    <t>20% (N = 227)</t>
  </si>
  <si>
    <t>34% (N = 265)</t>
  </si>
  <si>
    <t>32% (N = 208)</t>
  </si>
  <si>
    <t>32% (N = 659)</t>
  </si>
  <si>
    <t>4% (N = 35)</t>
  </si>
  <si>
    <t>3% (N = 21)</t>
  </si>
  <si>
    <t>5% (N = 51)</t>
  </si>
  <si>
    <t>38% (N = 301)</t>
  </si>
  <si>
    <t>50% (N = 328)</t>
  </si>
  <si>
    <t>53% (N = 1078)</t>
  </si>
  <si>
    <t>41% (N = 459)</t>
  </si>
  <si>
    <t>50% (N = 392)</t>
  </si>
  <si>
    <t>42% (N = 857)</t>
  </si>
  <si>
    <t>41% (N = 464)</t>
  </si>
  <si>
    <t>0% (N = 6)</t>
  </si>
  <si>
    <t>2% (N = 22)</t>
  </si>
  <si>
    <t>31% (N = 243)</t>
  </si>
  <si>
    <t>28% (N = 577)</t>
  </si>
  <si>
    <t>40% (N = 448)</t>
  </si>
  <si>
    <t>2% (N = 13)</t>
  </si>
  <si>
    <t>100% (N = 655)</t>
  </si>
  <si>
    <t>18% (N = 140)</t>
  </si>
  <si>
    <t>16% (N = 182)</t>
  </si>
  <si>
    <t>4% (N = 33)</t>
  </si>
  <si>
    <t>3% (N = 22)</t>
  </si>
  <si>
    <t>3% (N = 54)</t>
  </si>
  <si>
    <t>5% (N = 55)</t>
  </si>
  <si>
    <t>17% (N = 134)</t>
  </si>
  <si>
    <t>4% (N = 26)</t>
  </si>
  <si>
    <t>3% (N = 38)</t>
  </si>
  <si>
    <t>9% (N = 72)</t>
  </si>
  <si>
    <t>3% (N = 19)</t>
  </si>
  <si>
    <t>2% (N = 47)</t>
  </si>
  <si>
    <t>2% (N = 18)</t>
  </si>
  <si>
    <t>74% (N = 585)</t>
  </si>
  <si>
    <t>93% (N = 611)</t>
  </si>
  <si>
    <t>96% (N = 1959)</t>
  </si>
  <si>
    <t>95% (N = 1063)</t>
  </si>
  <si>
    <t>100% (N = 2051)</t>
  </si>
  <si>
    <t>100% (N = 1119)</t>
  </si>
  <si>
    <t>1% (N = 4)</t>
  </si>
  <si>
    <t>4% (N = 23)</t>
  </si>
  <si>
    <t>2% (N = 44)</t>
  </si>
  <si>
    <t>80% (N = 512)</t>
  </si>
  <si>
    <t>2% (N = 39)</t>
  </si>
  <si>
    <t>2% (N = 23)</t>
  </si>
  <si>
    <t>3% (N = 24)</t>
  </si>
  <si>
    <t>2% (N = 49)</t>
  </si>
  <si>
    <t>3% (N = 28)</t>
  </si>
  <si>
    <t>44.9 (13.4)</t>
  </si>
  <si>
    <t>47.8 (15.2)</t>
  </si>
  <si>
    <t>40 (11.5)</t>
  </si>
  <si>
    <t>39.8 (16.3)</t>
  </si>
  <si>
    <t>20.3 (9.8)</t>
  </si>
  <si>
    <t>18.4 (8.9)</t>
  </si>
  <si>
    <t>17.6 (8.8)</t>
  </si>
  <si>
    <t>20 (10)</t>
  </si>
  <si>
    <t>5% (N = 35)</t>
  </si>
  <si>
    <t>82% (N = 523)</t>
  </si>
  <si>
    <t>4% (N = 91)</t>
  </si>
  <si>
    <t>8% (N = 81)</t>
  </si>
  <si>
    <t>71% (N = 559)</t>
  </si>
  <si>
    <t>12% (N = 82)</t>
  </si>
  <si>
    <t>29% (N = 232)</t>
  </si>
  <si>
    <t>84% (N = 553)</t>
  </si>
  <si>
    <t>20% (N = 160)</t>
  </si>
  <si>
    <t>10% (N = 214)</t>
  </si>
  <si>
    <t>24% (N = 264)</t>
  </si>
  <si>
    <t>33% (N = 261)</t>
  </si>
  <si>
    <t>37% (N = 243)</t>
  </si>
  <si>
    <t>35% (N = 722)</t>
  </si>
  <si>
    <t>25% (N = 278)</t>
  </si>
  <si>
    <t>2% (N = 12)</t>
  </si>
  <si>
    <t>2% (N = 10)</t>
  </si>
  <si>
    <t>1% (N = 21)</t>
  </si>
  <si>
    <t>2% (N = 27)</t>
  </si>
  <si>
    <t>45% (N = 358)</t>
  </si>
  <si>
    <t>58% (N = 383)</t>
  </si>
  <si>
    <t>53% (N = 1094)</t>
  </si>
  <si>
    <t>49% (N = 550)</t>
  </si>
  <si>
    <t>62% (N = 489)</t>
  </si>
  <si>
    <t>76% (N = 497)</t>
  </si>
  <si>
    <t>12% (N = 95)</t>
  </si>
  <si>
    <t>5% (N = 32)</t>
  </si>
  <si>
    <t>32% (N = 362)</t>
  </si>
  <si>
    <t>13% (N = 147)</t>
  </si>
  <si>
    <t>5% (N = 39)</t>
  </si>
  <si>
    <t>4% (N = 29)</t>
  </si>
  <si>
    <t>15% (N = 169)</t>
  </si>
  <si>
    <t>19% (N = 154)</t>
  </si>
  <si>
    <t>11% (N = 70)</t>
  </si>
  <si>
    <t>34% (N = 381)</t>
  </si>
  <si>
    <t>70% (N = 556)</t>
  </si>
  <si>
    <t>79% (N = 516)</t>
  </si>
  <si>
    <t>76% (N = 1569)</t>
  </si>
  <si>
    <t>64% (N = 715)</t>
  </si>
  <si>
    <t>Total N</t>
  </si>
  <si>
    <t>N = 731</t>
  </si>
  <si>
    <t>N = 653</t>
  </si>
  <si>
    <t>N = 1975</t>
  </si>
  <si>
    <t>N = 1258</t>
  </si>
  <si>
    <t>15% (N = 109)</t>
  </si>
  <si>
    <t>20% (N = 131)</t>
  </si>
  <si>
    <t>23% (N = 462)</t>
  </si>
  <si>
    <t>21% (N = 269)</t>
  </si>
  <si>
    <t>35% (N = 258)</t>
  </si>
  <si>
    <t>43% (N = 279)</t>
  </si>
  <si>
    <t>42% (N = 833)</t>
  </si>
  <si>
    <t>35% (N = 438)</t>
  </si>
  <si>
    <t>50% (N = 364)</t>
  </si>
  <si>
    <t>34% (N = 679)</t>
  </si>
  <si>
    <t>44% (N = 550)</t>
  </si>
  <si>
    <t>6.5 (2.7)</t>
  </si>
  <si>
    <t>4.2 (2.9)</t>
  </si>
  <si>
    <t>3.8 (2.8)</t>
  </si>
  <si>
    <t>58 (9.3)</t>
  </si>
  <si>
    <t>54.9 (9)</t>
  </si>
  <si>
    <t>53.9 (8.6)</t>
  </si>
  <si>
    <t>56.1 (9.7)</t>
  </si>
  <si>
    <t>10% (N = 76)</t>
  </si>
  <si>
    <t>17% (N = 334)</t>
  </si>
  <si>
    <t>15% (N = 191)</t>
  </si>
  <si>
    <t>31% (N = 226)</t>
  </si>
  <si>
    <t>42% (N = 275)</t>
  </si>
  <si>
    <t>44% (N = 863)</t>
  </si>
  <si>
    <t>34% (N = 432)</t>
  </si>
  <si>
    <t>37% (N = 274)</t>
  </si>
  <si>
    <t>30% (N = 198)</t>
  </si>
  <si>
    <t>29% (N = 576)</t>
  </si>
  <si>
    <t>33% (N = 414)</t>
  </si>
  <si>
    <t>21% (N = 155)</t>
  </si>
  <si>
    <t>10% (N = 202)</t>
  </si>
  <si>
    <t>18% (N = 221)</t>
  </si>
  <si>
    <t>9% (N = 65)</t>
  </si>
  <si>
    <t>9% (N = 171)</t>
  </si>
  <si>
    <t>13% (N = 167)</t>
  </si>
  <si>
    <t>10% (N = 75)</t>
  </si>
  <si>
    <t>9% (N = 176)</t>
  </si>
  <si>
    <t>15% (N = 187)</t>
  </si>
  <si>
    <t>8% (N = 96)</t>
  </si>
  <si>
    <t>32% (N = 234)</t>
  </si>
  <si>
    <t>50% (N = 329)</t>
  </si>
  <si>
    <t>43% (N = 851)</t>
  </si>
  <si>
    <t>45% (N = 571)</t>
  </si>
  <si>
    <t>25% (N = 181)</t>
  </si>
  <si>
    <t>13% (N = 258)</t>
  </si>
  <si>
    <t>20% (N = 246)</t>
  </si>
  <si>
    <t>35% (N = 257)</t>
  </si>
  <si>
    <t>32% (N = 207)</t>
  </si>
  <si>
    <t>32% (N = 635)</t>
  </si>
  <si>
    <t>33% (N = 415)</t>
  </si>
  <si>
    <t>5% (N = 60)</t>
  </si>
  <si>
    <t>36% (N = 260)</t>
  </si>
  <si>
    <t>50% (N = 327)</t>
  </si>
  <si>
    <t>53% (N = 1042)</t>
  </si>
  <si>
    <t>43% (N = 537)</t>
  </si>
  <si>
    <t>100% (N = 653)</t>
  </si>
  <si>
    <t>100% (N = 1975)</t>
  </si>
  <si>
    <t>100% (N = 1258)</t>
  </si>
  <si>
    <t>47% (N = 344)</t>
  </si>
  <si>
    <t>41% (N = 801)</t>
  </si>
  <si>
    <t>41% (N = 513)</t>
  </si>
  <si>
    <t>2% (N = 33)</t>
  </si>
  <si>
    <t>28% (N = 206)</t>
  </si>
  <si>
    <t>27% (N = 539)</t>
  </si>
  <si>
    <t>34% (N = 428)</t>
  </si>
  <si>
    <t>1% (N = 10)</t>
  </si>
  <si>
    <t>20% (N = 148)</t>
  </si>
  <si>
    <t>30% (N = 602)</t>
  </si>
  <si>
    <t>17% (N = 219)</t>
  </si>
  <si>
    <t>3% (N = 58)</t>
  </si>
  <si>
    <t>4% (N = 56)</t>
  </si>
  <si>
    <t>17% (N = 124)</t>
  </si>
  <si>
    <t>4% (N = 25)</t>
  </si>
  <si>
    <t>2% (N = 46)</t>
  </si>
  <si>
    <t>10% (N = 71)</t>
  </si>
  <si>
    <t>3% (N = 17)</t>
  </si>
  <si>
    <t>2% (N = 48)</t>
  </si>
  <si>
    <t>2% (N = 31)</t>
  </si>
  <si>
    <t>73% (N = 536)</t>
  </si>
  <si>
    <t>94% (N = 611)</t>
  </si>
  <si>
    <t>95% (N = 1881)</t>
  </si>
  <si>
    <t>95% (N = 1189)</t>
  </si>
  <si>
    <t>1% (N = 5)</t>
  </si>
  <si>
    <t>2% (N = 38)</t>
  </si>
  <si>
    <t>1% (N = 16)</t>
  </si>
  <si>
    <t>68% (N = 443)</t>
  </si>
  <si>
    <t>3% (N = 33)</t>
  </si>
  <si>
    <t>40.1 (14.8)</t>
  </si>
  <si>
    <t>42.7 (17.5)</t>
  </si>
  <si>
    <t>39.5 (13.1)</t>
  </si>
  <si>
    <t>33.9 (16.8)</t>
  </si>
  <si>
    <t>30.9 (9.6)</t>
  </si>
  <si>
    <t>28.4 (8.9)</t>
  </si>
  <si>
    <t>27.5 (8.8)</t>
  </si>
  <si>
    <t>29.6 (10)</t>
  </si>
  <si>
    <t>71% (N = 462)</t>
  </si>
  <si>
    <t>6% (N = 74)</t>
  </si>
  <si>
    <t>70% (N = 514)</t>
  </si>
  <si>
    <t>13% (N = 82)</t>
  </si>
  <si>
    <t>30% (N = 217)</t>
  </si>
  <si>
    <t>84% (N = 551)</t>
  </si>
  <si>
    <t>100% (N = 1974)</t>
  </si>
  <si>
    <t>18% (N = 133)</t>
  </si>
  <si>
    <t>12% (N = 234)</t>
  </si>
  <si>
    <t>21% (N = 259)</t>
  </si>
  <si>
    <t>34% (N = 250)</t>
  </si>
  <si>
    <t>37% (N = 241)</t>
  </si>
  <si>
    <t>34% (N = 672)</t>
  </si>
  <si>
    <t>27% (N = 338)</t>
  </si>
  <si>
    <t>2% (N = 11)</t>
  </si>
  <si>
    <t>46% (N = 337)</t>
  </si>
  <si>
    <t>58% (N = 382)</t>
  </si>
  <si>
    <t>53% (N = 1051)</t>
  </si>
  <si>
    <t>50% (N = 630)</t>
  </si>
  <si>
    <t>58% (N = 426)</t>
  </si>
  <si>
    <t>9% (N = 67)</t>
  </si>
  <si>
    <t>12% (N = 76)</t>
  </si>
  <si>
    <t>29% (N = 359)</t>
  </si>
  <si>
    <t>9% (N = 115)</t>
  </si>
  <si>
    <t>10% (N = 130)</t>
  </si>
  <si>
    <t>5% (N = 66)</t>
  </si>
  <si>
    <t>11% (N = 83)</t>
  </si>
  <si>
    <t>6% (N = 39)</t>
  </si>
  <si>
    <t>21% (N = 260)</t>
  </si>
  <si>
    <t>7% (N = 47)</t>
  </si>
  <si>
    <t>26% (N = 328)</t>
  </si>
  <si>
    <t>Class 3 - Urban ambulatory care PCPs</t>
  </si>
  <si>
    <t>Class 1 - Rural PCPs</t>
  </si>
  <si>
    <t>Class 2 -  Ob-gyns (but no family medicine)</t>
  </si>
  <si>
    <t>Class 4 Urban, non-ambulatory care PCPs</t>
  </si>
  <si>
    <t>N = 791</t>
  </si>
  <si>
    <t>N = 656</t>
  </si>
  <si>
    <t>N = 2,051</t>
  </si>
  <si>
    <t>N = 1119</t>
  </si>
  <si>
    <t>IMG</t>
  </si>
  <si>
    <t>In State</t>
  </si>
  <si>
    <t>Out of State - HBCU</t>
  </si>
  <si>
    <t>Out of State - Non-HBCU</t>
  </si>
  <si>
    <t>2019 only           (N = 3,312)</t>
  </si>
  <si>
    <t>Both years in 2009 and 2019                     (N = 4,617)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</si>
</sst>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5F3-C160-466F-BAF5-810695E1A441}">
  <dimension ref="A1:J53"/>
  <sheetViews>
    <sheetView tabSelected="1" workbookViewId="0">
      <selection activeCell="F2" sqref="F2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4.1796875" style="1" customWidth="1"/>
    <col min="4" max="4" width="13.7265625" style="1" customWidth="1"/>
    <col min="5" max="5" width="13.08984375" style="1" customWidth="1"/>
    <col min="6" max="6" width="16.26953125" style="1" customWidth="1"/>
    <col min="7" max="16384" width="8.7265625" style="1"/>
  </cols>
  <sheetData>
    <row r="1" spans="1:6" x14ac:dyDescent="0.35">
      <c r="C1" s="3" t="s">
        <v>191</v>
      </c>
      <c r="D1" s="3"/>
      <c r="E1" s="3" t="s">
        <v>192</v>
      </c>
      <c r="F1" s="3"/>
    </row>
    <row r="2" spans="1:6" s="2" customFormat="1" ht="43.5" x14ac:dyDescent="0.35">
      <c r="A2" s="2" t="s">
        <v>10</v>
      </c>
      <c r="C2" s="2" t="s">
        <v>200</v>
      </c>
      <c r="D2" s="2" t="s">
        <v>190</v>
      </c>
      <c r="E2" s="2" t="s">
        <v>587</v>
      </c>
      <c r="F2" s="2" t="s">
        <v>588</v>
      </c>
    </row>
    <row r="3" spans="1:6" x14ac:dyDescent="0.35">
      <c r="A3" s="2" t="s">
        <v>193</v>
      </c>
      <c r="C3" s="1" t="s">
        <v>33</v>
      </c>
      <c r="D3" s="1" t="s">
        <v>35</v>
      </c>
      <c r="E3" s="1" t="s">
        <v>34</v>
      </c>
      <c r="F3" s="1" t="s">
        <v>36</v>
      </c>
    </row>
    <row r="4" spans="1:6" ht="14" customHeight="1" x14ac:dyDescent="0.35">
      <c r="A4" s="2" t="s">
        <v>194</v>
      </c>
      <c r="B4" s="2" t="s">
        <v>199</v>
      </c>
      <c r="C4" s="1" t="s">
        <v>37</v>
      </c>
      <c r="D4" s="1" t="s">
        <v>39</v>
      </c>
      <c r="E4" s="1" t="s">
        <v>38</v>
      </c>
      <c r="F4" s="1" t="s">
        <v>14</v>
      </c>
    </row>
    <row r="5" spans="1:6" x14ac:dyDescent="0.35">
      <c r="B5" s="2" t="s">
        <v>195</v>
      </c>
      <c r="C5" s="1" t="s">
        <v>40</v>
      </c>
      <c r="D5" s="1" t="s">
        <v>42</v>
      </c>
      <c r="E5" s="1" t="s">
        <v>41</v>
      </c>
      <c r="F5" s="1" t="s">
        <v>39</v>
      </c>
    </row>
    <row r="6" spans="1:6" x14ac:dyDescent="0.35">
      <c r="B6" s="2" t="s">
        <v>196</v>
      </c>
      <c r="C6" s="1" t="s">
        <v>43</v>
      </c>
      <c r="D6" s="1" t="s">
        <v>45</v>
      </c>
      <c r="E6" s="1" t="s">
        <v>44</v>
      </c>
      <c r="F6" s="1" t="s">
        <v>42</v>
      </c>
    </row>
    <row r="7" spans="1:6" x14ac:dyDescent="0.35">
      <c r="B7" s="2" t="s">
        <v>197</v>
      </c>
      <c r="C7" s="1" t="s">
        <v>46</v>
      </c>
      <c r="D7" s="1" t="s">
        <v>48</v>
      </c>
      <c r="E7" s="1" t="s">
        <v>47</v>
      </c>
      <c r="F7" s="1" t="s">
        <v>45</v>
      </c>
    </row>
    <row r="8" spans="1:6" x14ac:dyDescent="0.35">
      <c r="B8" s="2" t="s">
        <v>198</v>
      </c>
      <c r="C8" s="1" t="s">
        <v>49</v>
      </c>
      <c r="D8" s="1" t="s">
        <v>51</v>
      </c>
      <c r="E8" s="1" t="s">
        <v>50</v>
      </c>
      <c r="F8" s="1" t="s">
        <v>52</v>
      </c>
    </row>
    <row r="9" spans="1:6" ht="14" customHeight="1" x14ac:dyDescent="0.35">
      <c r="A9" s="2" t="s">
        <v>201</v>
      </c>
      <c r="C9" s="1" t="s">
        <v>64</v>
      </c>
      <c r="D9" s="1" t="s">
        <v>66</v>
      </c>
      <c r="E9" s="1" t="s">
        <v>65</v>
      </c>
      <c r="F9" s="1" t="s">
        <v>66</v>
      </c>
    </row>
    <row r="10" spans="1:6" x14ac:dyDescent="0.35">
      <c r="A10" s="2" t="s">
        <v>202</v>
      </c>
      <c r="B10" s="2" t="s">
        <v>203</v>
      </c>
      <c r="C10" s="1" t="s">
        <v>187</v>
      </c>
      <c r="D10" s="1" t="s">
        <v>189</v>
      </c>
      <c r="E10" s="1" t="s">
        <v>188</v>
      </c>
      <c r="F10" s="1" t="s">
        <v>189</v>
      </c>
    </row>
    <row r="11" spans="1:6" x14ac:dyDescent="0.35">
      <c r="B11" s="2" t="s">
        <v>204</v>
      </c>
      <c r="C11" s="1" t="s">
        <v>59</v>
      </c>
      <c r="D11" s="1" t="s">
        <v>61</v>
      </c>
      <c r="E11" s="1" t="s">
        <v>60</v>
      </c>
      <c r="F11" s="1" t="s">
        <v>61</v>
      </c>
    </row>
    <row r="12" spans="1:6" ht="43.5" x14ac:dyDescent="0.35">
      <c r="B12" s="2" t="s">
        <v>205</v>
      </c>
      <c r="C12" s="1" t="s">
        <v>53</v>
      </c>
      <c r="D12" s="1" t="s">
        <v>55</v>
      </c>
      <c r="E12" s="1" t="s">
        <v>54</v>
      </c>
      <c r="F12" s="1" t="s">
        <v>55</v>
      </c>
    </row>
    <row r="13" spans="1:6" ht="29" x14ac:dyDescent="0.35">
      <c r="B13" s="2" t="s">
        <v>206</v>
      </c>
      <c r="C13" s="1" t="s">
        <v>56</v>
      </c>
      <c r="D13" s="1" t="s">
        <v>58</v>
      </c>
      <c r="E13" s="1" t="s">
        <v>57</v>
      </c>
      <c r="F13" s="1" t="s">
        <v>58</v>
      </c>
    </row>
    <row r="14" spans="1:6" x14ac:dyDescent="0.35">
      <c r="B14" s="2" t="s">
        <v>207</v>
      </c>
      <c r="C14" s="1" t="s">
        <v>67</v>
      </c>
      <c r="D14" s="1" t="s">
        <v>103</v>
      </c>
      <c r="E14" s="1" t="s">
        <v>102</v>
      </c>
      <c r="F14" s="1" t="s">
        <v>103</v>
      </c>
    </row>
    <row r="15" spans="1:6" x14ac:dyDescent="0.35">
      <c r="B15" s="2" t="s">
        <v>208</v>
      </c>
      <c r="C15" s="1" t="s">
        <v>120</v>
      </c>
      <c r="D15" s="1" t="s">
        <v>122</v>
      </c>
      <c r="E15" s="1" t="s">
        <v>121</v>
      </c>
      <c r="F15" s="1" t="s">
        <v>122</v>
      </c>
    </row>
    <row r="16" spans="1:6" x14ac:dyDescent="0.35">
      <c r="B16" s="2" t="s">
        <v>209</v>
      </c>
      <c r="C16" s="1" t="s">
        <v>135</v>
      </c>
      <c r="D16" s="1" t="s">
        <v>62</v>
      </c>
      <c r="E16" s="1" t="s">
        <v>136</v>
      </c>
      <c r="F16" s="1" t="s">
        <v>62</v>
      </c>
    </row>
    <row r="17" spans="1:10" x14ac:dyDescent="0.35">
      <c r="A17" s="2" t="s">
        <v>234</v>
      </c>
      <c r="B17" s="2" t="s">
        <v>237</v>
      </c>
      <c r="C17" s="1" t="s">
        <v>77</v>
      </c>
      <c r="D17" s="1" t="s">
        <v>79</v>
      </c>
      <c r="E17" s="1" t="s">
        <v>78</v>
      </c>
      <c r="F17" s="1" t="s">
        <v>79</v>
      </c>
    </row>
    <row r="18" spans="1:10" ht="43.5" x14ac:dyDescent="0.35">
      <c r="B18" s="2" t="s">
        <v>239</v>
      </c>
      <c r="C18" s="1" t="s">
        <v>71</v>
      </c>
      <c r="D18" s="1" t="s">
        <v>73</v>
      </c>
      <c r="E18" s="1" t="s">
        <v>72</v>
      </c>
      <c r="F18" s="1" t="s">
        <v>73</v>
      </c>
    </row>
    <row r="19" spans="1:10" ht="29" x14ac:dyDescent="0.35">
      <c r="B19" s="2" t="s">
        <v>238</v>
      </c>
      <c r="C19" s="1" t="s">
        <v>74</v>
      </c>
      <c r="D19" s="1" t="s">
        <v>76</v>
      </c>
      <c r="E19" s="1" t="s">
        <v>75</v>
      </c>
      <c r="F19" s="1" t="s">
        <v>76</v>
      </c>
    </row>
    <row r="20" spans="1:10" x14ac:dyDescent="0.35">
      <c r="B20" s="2" t="s">
        <v>236</v>
      </c>
      <c r="C20" s="1" t="s">
        <v>80</v>
      </c>
      <c r="D20" s="1" t="s">
        <v>82</v>
      </c>
      <c r="E20" s="1" t="s">
        <v>81</v>
      </c>
      <c r="F20" s="1" t="s">
        <v>82</v>
      </c>
    </row>
    <row r="21" spans="1:10" x14ac:dyDescent="0.35">
      <c r="B21" s="2" t="s">
        <v>235</v>
      </c>
      <c r="C21" s="1" t="s">
        <v>69</v>
      </c>
      <c r="D21" s="1" t="s">
        <v>84</v>
      </c>
      <c r="E21" s="1" t="s">
        <v>83</v>
      </c>
      <c r="F21" s="1" t="s">
        <v>84</v>
      </c>
    </row>
    <row r="22" spans="1:10" x14ac:dyDescent="0.35">
      <c r="A22" s="2" t="s">
        <v>214</v>
      </c>
      <c r="B22" s="2" t="s">
        <v>219</v>
      </c>
      <c r="C22" s="1" t="s">
        <v>85</v>
      </c>
      <c r="D22" s="1" t="s">
        <v>87</v>
      </c>
      <c r="E22" s="1" t="s">
        <v>86</v>
      </c>
      <c r="F22" s="1" t="s">
        <v>88</v>
      </c>
    </row>
    <row r="23" spans="1:10" x14ac:dyDescent="0.35">
      <c r="B23" s="2" t="s">
        <v>218</v>
      </c>
      <c r="C23" s="1" t="s">
        <v>63</v>
      </c>
      <c r="D23" s="1" t="s">
        <v>90</v>
      </c>
      <c r="E23" s="1" t="s">
        <v>89</v>
      </c>
      <c r="F23" s="1" t="s">
        <v>79</v>
      </c>
    </row>
    <row r="24" spans="1:10" ht="29" x14ac:dyDescent="0.35">
      <c r="B24" s="2" t="s">
        <v>217</v>
      </c>
      <c r="C24" s="1" t="s">
        <v>91</v>
      </c>
      <c r="D24" s="1" t="s">
        <v>70</v>
      </c>
      <c r="E24" s="1" t="s">
        <v>92</v>
      </c>
      <c r="F24" s="1" t="s">
        <v>93</v>
      </c>
    </row>
    <row r="25" spans="1:10" ht="29" x14ac:dyDescent="0.35">
      <c r="B25" s="2" t="s">
        <v>216</v>
      </c>
      <c r="C25" s="1" t="s">
        <v>94</v>
      </c>
      <c r="D25" s="1" t="s">
        <v>96</v>
      </c>
      <c r="E25" s="1" t="s">
        <v>95</v>
      </c>
      <c r="F25" s="1" t="s">
        <v>97</v>
      </c>
    </row>
    <row r="26" spans="1:10" x14ac:dyDescent="0.35">
      <c r="B26" s="2" t="s">
        <v>215</v>
      </c>
      <c r="C26" s="1" t="s">
        <v>98</v>
      </c>
      <c r="D26" s="1" t="s">
        <v>100</v>
      </c>
      <c r="E26" s="1" t="s">
        <v>99</v>
      </c>
      <c r="F26" s="1" t="s">
        <v>101</v>
      </c>
    </row>
    <row r="27" spans="1:10" x14ac:dyDescent="0.35">
      <c r="A27" s="2" t="s">
        <v>220</v>
      </c>
      <c r="B27" s="2" t="s">
        <v>221</v>
      </c>
      <c r="C27" s="1" t="s">
        <v>164</v>
      </c>
      <c r="D27" s="1" t="s">
        <v>166</v>
      </c>
      <c r="E27" s="1" t="s">
        <v>165</v>
      </c>
      <c r="F27" s="1" t="s">
        <v>167</v>
      </c>
      <c r="J27" s="1">
        <f>3037+1569</f>
        <v>4606</v>
      </c>
    </row>
    <row r="28" spans="1:10" x14ac:dyDescent="0.35">
      <c r="B28" s="2" t="s">
        <v>222</v>
      </c>
      <c r="C28" s="1" t="s">
        <v>168</v>
      </c>
      <c r="D28" s="1" t="s">
        <v>170</v>
      </c>
      <c r="E28" s="1" t="s">
        <v>169</v>
      </c>
      <c r="F28" s="1" t="s">
        <v>171</v>
      </c>
    </row>
    <row r="29" spans="1:10" ht="43.5" x14ac:dyDescent="0.35">
      <c r="B29" s="2" t="s">
        <v>223</v>
      </c>
      <c r="C29" s="1" t="s">
        <v>172</v>
      </c>
      <c r="D29" s="1" t="s">
        <v>173</v>
      </c>
      <c r="E29" s="1" t="s">
        <v>121</v>
      </c>
      <c r="F29" s="1" t="s">
        <v>174</v>
      </c>
    </row>
    <row r="30" spans="1:10" ht="29" x14ac:dyDescent="0.35">
      <c r="B30" s="2" t="s">
        <v>225</v>
      </c>
      <c r="C30" s="1" t="s">
        <v>90</v>
      </c>
      <c r="D30" s="1" t="s">
        <v>68</v>
      </c>
      <c r="E30" s="1" t="s">
        <v>115</v>
      </c>
      <c r="F30" s="1" t="s">
        <v>178</v>
      </c>
    </row>
    <row r="31" spans="1:10" x14ac:dyDescent="0.35">
      <c r="B31" s="2" t="s">
        <v>208</v>
      </c>
      <c r="C31" s="1" t="s">
        <v>179</v>
      </c>
      <c r="D31" s="1" t="s">
        <v>181</v>
      </c>
      <c r="E31" s="1" t="s">
        <v>180</v>
      </c>
      <c r="F31" s="1" t="s">
        <v>182</v>
      </c>
    </row>
    <row r="32" spans="1:10" x14ac:dyDescent="0.35">
      <c r="B32" s="2" t="s">
        <v>226</v>
      </c>
      <c r="C32" s="1" t="s">
        <v>183</v>
      </c>
      <c r="D32" s="1" t="s">
        <v>185</v>
      </c>
      <c r="E32" s="1" t="s">
        <v>184</v>
      </c>
      <c r="F32" s="1" t="s">
        <v>186</v>
      </c>
    </row>
    <row r="33" spans="1:6" x14ac:dyDescent="0.35">
      <c r="B33" s="2" t="s">
        <v>224</v>
      </c>
      <c r="C33" s="1" t="s">
        <v>175</v>
      </c>
      <c r="D33" s="1" t="s">
        <v>144</v>
      </c>
      <c r="E33" s="1" t="s">
        <v>176</v>
      </c>
      <c r="F33" s="1" t="s">
        <v>177</v>
      </c>
    </row>
    <row r="34" spans="1:6" ht="29" x14ac:dyDescent="0.35">
      <c r="A34" s="2" t="s">
        <v>229</v>
      </c>
      <c r="B34" s="2" t="s">
        <v>228</v>
      </c>
      <c r="C34" s="1" t="s">
        <v>131</v>
      </c>
      <c r="D34" s="1" t="s">
        <v>133</v>
      </c>
      <c r="E34" s="1" t="s">
        <v>132</v>
      </c>
      <c r="F34" s="1" t="s">
        <v>134</v>
      </c>
    </row>
    <row r="35" spans="1:6" ht="43.5" x14ac:dyDescent="0.35">
      <c r="B35" s="2" t="s">
        <v>227</v>
      </c>
      <c r="C35" s="1" t="s">
        <v>116</v>
      </c>
      <c r="D35" s="1" t="s">
        <v>118</v>
      </c>
      <c r="E35" s="1" t="s">
        <v>117</v>
      </c>
      <c r="F35" s="1" t="s">
        <v>119</v>
      </c>
    </row>
    <row r="36" spans="1:6" x14ac:dyDescent="0.35">
      <c r="A36" s="2" t="s">
        <v>233</v>
      </c>
      <c r="B36" s="2" t="s">
        <v>230</v>
      </c>
      <c r="C36" s="1" t="s">
        <v>145</v>
      </c>
      <c r="D36" s="1" t="s">
        <v>147</v>
      </c>
      <c r="E36" s="1" t="s">
        <v>146</v>
      </c>
      <c r="F36" s="1" t="s">
        <v>148</v>
      </c>
    </row>
    <row r="37" spans="1:6" x14ac:dyDescent="0.35">
      <c r="B37" s="2" t="s">
        <v>231</v>
      </c>
      <c r="C37" s="1" t="s">
        <v>137</v>
      </c>
      <c r="D37" s="1" t="s">
        <v>139</v>
      </c>
      <c r="E37" s="1" t="s">
        <v>138</v>
      </c>
      <c r="F37" s="1" t="s">
        <v>140</v>
      </c>
    </row>
    <row r="38" spans="1:6" x14ac:dyDescent="0.35">
      <c r="B38" s="2" t="s">
        <v>232</v>
      </c>
      <c r="C38" s="1" t="s">
        <v>141</v>
      </c>
      <c r="D38" s="1" t="s">
        <v>143</v>
      </c>
      <c r="E38" s="1" t="s">
        <v>142</v>
      </c>
      <c r="F38" s="1" t="s">
        <v>144</v>
      </c>
    </row>
    <row r="39" spans="1:6" ht="29" x14ac:dyDescent="0.35">
      <c r="A39" s="2" t="s">
        <v>241</v>
      </c>
      <c r="C39" s="1" t="s">
        <v>127</v>
      </c>
      <c r="D39" s="1" t="s">
        <v>129</v>
      </c>
      <c r="E39" s="1" t="s">
        <v>128</v>
      </c>
      <c r="F39" s="1" t="s">
        <v>130</v>
      </c>
    </row>
    <row r="40" spans="1:6" ht="29" x14ac:dyDescent="0.35">
      <c r="A40" s="2" t="s">
        <v>243</v>
      </c>
      <c r="C40" s="1" t="s">
        <v>123</v>
      </c>
      <c r="D40" s="1" t="s">
        <v>125</v>
      </c>
      <c r="E40" s="1" t="s">
        <v>124</v>
      </c>
      <c r="F40" s="1" t="s">
        <v>126</v>
      </c>
    </row>
    <row r="41" spans="1:6" x14ac:dyDescent="0.35">
      <c r="A41" s="1" t="s">
        <v>244</v>
      </c>
      <c r="B41" s="2" t="s">
        <v>245</v>
      </c>
      <c r="C41" s="1" t="s">
        <v>11</v>
      </c>
      <c r="D41" s="1" t="s">
        <v>13</v>
      </c>
      <c r="E41" s="1" t="s">
        <v>12</v>
      </c>
      <c r="F41" s="1" t="s">
        <v>14</v>
      </c>
    </row>
    <row r="42" spans="1:6" x14ac:dyDescent="0.35">
      <c r="A42" s="1"/>
      <c r="B42" s="2" t="s">
        <v>249</v>
      </c>
      <c r="C42" s="1" t="s">
        <v>26</v>
      </c>
      <c r="D42" s="1" t="s">
        <v>28</v>
      </c>
      <c r="E42" s="1" t="s">
        <v>27</v>
      </c>
      <c r="F42" s="1" t="s">
        <v>14</v>
      </c>
    </row>
    <row r="43" spans="1:6" x14ac:dyDescent="0.35">
      <c r="A43" s="1"/>
      <c r="B43" s="2" t="s">
        <v>246</v>
      </c>
      <c r="C43" s="1" t="s">
        <v>15</v>
      </c>
      <c r="D43" s="1" t="s">
        <v>17</v>
      </c>
      <c r="E43" s="1" t="s">
        <v>16</v>
      </c>
      <c r="F43" s="1" t="s">
        <v>18</v>
      </c>
    </row>
    <row r="44" spans="1:6" x14ac:dyDescent="0.35">
      <c r="A44" s="1"/>
      <c r="B44" s="2" t="s">
        <v>247</v>
      </c>
      <c r="C44" s="1" t="s">
        <v>19</v>
      </c>
      <c r="D44" s="1" t="s">
        <v>21</v>
      </c>
      <c r="E44" s="1" t="s">
        <v>20</v>
      </c>
      <c r="F44" s="1" t="s">
        <v>17</v>
      </c>
    </row>
    <row r="45" spans="1:6" x14ac:dyDescent="0.35">
      <c r="A45" s="1"/>
      <c r="B45" s="2" t="s">
        <v>248</v>
      </c>
      <c r="C45" s="1" t="s">
        <v>22</v>
      </c>
      <c r="D45" s="1" t="s">
        <v>24</v>
      </c>
      <c r="E45" s="1" t="s">
        <v>23</v>
      </c>
      <c r="F45" s="1" t="s">
        <v>25</v>
      </c>
    </row>
    <row r="46" spans="1:6" x14ac:dyDescent="0.35">
      <c r="A46" s="2" t="s">
        <v>240</v>
      </c>
      <c r="C46" s="1" t="s">
        <v>29</v>
      </c>
      <c r="D46" s="1" t="s">
        <v>31</v>
      </c>
      <c r="E46" s="1" t="s">
        <v>30</v>
      </c>
      <c r="F46" s="1" t="s">
        <v>32</v>
      </c>
    </row>
    <row r="47" spans="1:6" x14ac:dyDescent="0.35">
      <c r="A47" s="2" t="s">
        <v>210</v>
      </c>
      <c r="B47" s="2" t="s">
        <v>213</v>
      </c>
      <c r="C47" s="1" t="s">
        <v>104</v>
      </c>
      <c r="D47" s="1" t="s">
        <v>106</v>
      </c>
      <c r="E47" s="1" t="s">
        <v>105</v>
      </c>
      <c r="F47" s="1" t="s">
        <v>107</v>
      </c>
    </row>
    <row r="48" spans="1:6" x14ac:dyDescent="0.35">
      <c r="B48" s="2" t="s">
        <v>212</v>
      </c>
      <c r="C48" s="1" t="s">
        <v>67</v>
      </c>
      <c r="D48" s="1" t="s">
        <v>109</v>
      </c>
      <c r="E48" s="1" t="s">
        <v>108</v>
      </c>
      <c r="F48" s="1" t="s">
        <v>110</v>
      </c>
    </row>
    <row r="49" spans="1:6" x14ac:dyDescent="0.35">
      <c r="B49" s="2" t="s">
        <v>211</v>
      </c>
      <c r="C49" s="1" t="s">
        <v>111</v>
      </c>
      <c r="D49" s="1" t="s">
        <v>113</v>
      </c>
      <c r="E49" s="1" t="s">
        <v>112</v>
      </c>
      <c r="F49" s="1" t="s">
        <v>114</v>
      </c>
    </row>
    <row r="50" spans="1:6" x14ac:dyDescent="0.35">
      <c r="A50" s="1" t="s">
        <v>242</v>
      </c>
      <c r="B50" s="2" t="s">
        <v>583</v>
      </c>
      <c r="C50" s="1" t="s">
        <v>149</v>
      </c>
      <c r="D50" s="1" t="s">
        <v>151</v>
      </c>
      <c r="E50" s="1" t="s">
        <v>150</v>
      </c>
      <c r="F50" s="1" t="s">
        <v>152</v>
      </c>
    </row>
    <row r="51" spans="1:6" x14ac:dyDescent="0.35">
      <c r="A51" s="1"/>
      <c r="B51" s="2" t="s">
        <v>584</v>
      </c>
      <c r="C51" s="1" t="s">
        <v>153</v>
      </c>
      <c r="D51" s="1" t="s">
        <v>155</v>
      </c>
      <c r="E51" s="1" t="s">
        <v>154</v>
      </c>
      <c r="F51" s="1" t="s">
        <v>156</v>
      </c>
    </row>
    <row r="52" spans="1:6" x14ac:dyDescent="0.35">
      <c r="A52" s="1"/>
      <c r="B52" s="2" t="s">
        <v>585</v>
      </c>
      <c r="C52" s="1" t="s">
        <v>157</v>
      </c>
      <c r="D52" s="1" t="s">
        <v>159</v>
      </c>
      <c r="E52" s="1" t="s">
        <v>158</v>
      </c>
      <c r="F52" s="1" t="s">
        <v>159</v>
      </c>
    </row>
    <row r="53" spans="1:6" x14ac:dyDescent="0.35">
      <c r="A53" s="1"/>
      <c r="B53" s="2" t="s">
        <v>586</v>
      </c>
      <c r="C53" s="1" t="s">
        <v>160</v>
      </c>
      <c r="D53" s="1" t="s">
        <v>162</v>
      </c>
      <c r="E53" s="1" t="s">
        <v>161</v>
      </c>
      <c r="F53" s="1" t="s">
        <v>163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790B-C94C-446D-B2D9-450FA213B261}">
  <dimension ref="A1:F6"/>
  <sheetViews>
    <sheetView workbookViewId="0">
      <selection activeCell="F6" sqref="A1:F6"/>
    </sheetView>
  </sheetViews>
  <sheetFormatPr defaultRowHeight="14.5" x14ac:dyDescent="0.35"/>
  <cols>
    <col min="1" max="1" width="16.0898437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3629</v>
      </c>
      <c r="C2">
        <v>62</v>
      </c>
      <c r="D2">
        <v>31</v>
      </c>
      <c r="E2">
        <v>1</v>
      </c>
      <c r="F2">
        <v>3723</v>
      </c>
    </row>
    <row r="3" spans="1:6" x14ac:dyDescent="0.35">
      <c r="A3" t="s">
        <v>6</v>
      </c>
      <c r="B3">
        <v>108</v>
      </c>
      <c r="C3">
        <v>512</v>
      </c>
      <c r="D3">
        <v>21</v>
      </c>
      <c r="E3">
        <v>0</v>
      </c>
      <c r="F3">
        <v>641</v>
      </c>
    </row>
    <row r="4" spans="1:6" x14ac:dyDescent="0.35">
      <c r="A4" t="s">
        <v>7</v>
      </c>
      <c r="B4">
        <v>46</v>
      </c>
      <c r="C4">
        <v>22</v>
      </c>
      <c r="D4">
        <v>185</v>
      </c>
      <c r="E4">
        <v>0</v>
      </c>
      <c r="F4">
        <v>253</v>
      </c>
    </row>
    <row r="5" spans="1:6" x14ac:dyDescent="0.3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9</v>
      </c>
      <c r="B6">
        <v>3783</v>
      </c>
      <c r="C6">
        <v>596</v>
      </c>
      <c r="D6">
        <v>237</v>
      </c>
      <c r="E6">
        <v>1</v>
      </c>
      <c r="F6">
        <v>4617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A0F-8145-46C8-A412-B9F5E05C531E}">
  <dimension ref="A1:I9"/>
  <sheetViews>
    <sheetView workbookViewId="0">
      <selection sqref="A1:I9"/>
    </sheetView>
  </sheetViews>
  <sheetFormatPr defaultRowHeight="14.5" x14ac:dyDescent="0.35"/>
  <sheetData>
    <row r="1" spans="1:9" x14ac:dyDescent="0.35"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4</v>
      </c>
    </row>
    <row r="2" spans="1:9" x14ac:dyDescent="0.35">
      <c r="A2" t="s">
        <v>250</v>
      </c>
      <c r="B2">
        <v>2321</v>
      </c>
      <c r="C2">
        <v>208</v>
      </c>
      <c r="D2">
        <v>15</v>
      </c>
      <c r="E2">
        <v>29</v>
      </c>
      <c r="F2">
        <v>133</v>
      </c>
      <c r="G2">
        <v>207</v>
      </c>
      <c r="H2">
        <v>124</v>
      </c>
      <c r="I2">
        <v>3037</v>
      </c>
    </row>
    <row r="3" spans="1:9" x14ac:dyDescent="0.35">
      <c r="A3" t="s">
        <v>251</v>
      </c>
      <c r="B3">
        <v>135</v>
      </c>
      <c r="C3">
        <v>204</v>
      </c>
      <c r="D3">
        <v>10</v>
      </c>
      <c r="E3">
        <v>8</v>
      </c>
      <c r="F3">
        <v>21</v>
      </c>
      <c r="G3">
        <v>86</v>
      </c>
      <c r="H3">
        <v>25</v>
      </c>
      <c r="I3">
        <v>489</v>
      </c>
    </row>
    <row r="4" spans="1:9" x14ac:dyDescent="0.35">
      <c r="A4" t="s">
        <v>252</v>
      </c>
      <c r="B4">
        <v>26</v>
      </c>
      <c r="C4">
        <v>31</v>
      </c>
      <c r="D4">
        <v>102</v>
      </c>
      <c r="E4">
        <v>1</v>
      </c>
      <c r="F4">
        <v>1</v>
      </c>
      <c r="G4">
        <v>10</v>
      </c>
      <c r="H4">
        <v>3</v>
      </c>
      <c r="I4">
        <v>174</v>
      </c>
    </row>
    <row r="5" spans="1:9" x14ac:dyDescent="0.35">
      <c r="A5" t="s">
        <v>253</v>
      </c>
      <c r="B5">
        <v>2</v>
      </c>
      <c r="C5">
        <v>0</v>
      </c>
      <c r="D5">
        <v>0</v>
      </c>
      <c r="E5">
        <v>32</v>
      </c>
      <c r="F5">
        <v>0</v>
      </c>
      <c r="G5">
        <v>7</v>
      </c>
      <c r="H5">
        <v>1</v>
      </c>
      <c r="I5">
        <v>42</v>
      </c>
    </row>
    <row r="6" spans="1:9" x14ac:dyDescent="0.35">
      <c r="A6" t="s">
        <v>254</v>
      </c>
      <c r="B6">
        <v>214</v>
      </c>
      <c r="C6">
        <v>24</v>
      </c>
      <c r="D6">
        <v>2</v>
      </c>
      <c r="E6">
        <v>4</v>
      </c>
      <c r="F6">
        <v>304</v>
      </c>
      <c r="G6">
        <v>37</v>
      </c>
      <c r="H6">
        <v>20</v>
      </c>
      <c r="I6">
        <v>605</v>
      </c>
    </row>
    <row r="7" spans="1:9" x14ac:dyDescent="0.35">
      <c r="A7" t="s">
        <v>255</v>
      </c>
      <c r="B7">
        <v>14</v>
      </c>
      <c r="C7">
        <v>5</v>
      </c>
      <c r="D7">
        <v>0</v>
      </c>
      <c r="E7">
        <v>0</v>
      </c>
      <c r="F7">
        <v>2</v>
      </c>
      <c r="G7">
        <v>10</v>
      </c>
      <c r="H7">
        <v>2</v>
      </c>
      <c r="I7">
        <v>33</v>
      </c>
    </row>
    <row r="8" spans="1:9" x14ac:dyDescent="0.35">
      <c r="A8" t="s">
        <v>256</v>
      </c>
      <c r="B8">
        <v>132</v>
      </c>
      <c r="C8">
        <v>30</v>
      </c>
      <c r="D8">
        <v>9</v>
      </c>
      <c r="E8">
        <v>3</v>
      </c>
      <c r="F8">
        <v>23</v>
      </c>
      <c r="G8">
        <v>25</v>
      </c>
      <c r="H8">
        <v>15</v>
      </c>
      <c r="I8">
        <v>237</v>
      </c>
    </row>
    <row r="9" spans="1:9" x14ac:dyDescent="0.35">
      <c r="A9" t="s">
        <v>9</v>
      </c>
      <c r="B9">
        <v>2844</v>
      </c>
      <c r="C9">
        <v>502</v>
      </c>
      <c r="D9">
        <v>138</v>
      </c>
      <c r="E9">
        <v>77</v>
      </c>
      <c r="F9">
        <v>484</v>
      </c>
      <c r="G9">
        <v>382</v>
      </c>
      <c r="H9">
        <v>190</v>
      </c>
      <c r="I9">
        <v>4617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A871-55DD-4EB7-9171-9A60506E183D}">
  <dimension ref="A1:H8"/>
  <sheetViews>
    <sheetView workbookViewId="0">
      <selection activeCell="L17" sqref="L17"/>
    </sheetView>
  </sheetViews>
  <sheetFormatPr defaultRowHeight="14.5" x14ac:dyDescent="0.35"/>
  <sheetData>
    <row r="1" spans="1:8" x14ac:dyDescent="0.35"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</v>
      </c>
      <c r="H1" t="s">
        <v>4</v>
      </c>
    </row>
    <row r="2" spans="1:8" x14ac:dyDescent="0.35">
      <c r="A2" t="s">
        <v>264</v>
      </c>
      <c r="B2">
        <v>1621</v>
      </c>
      <c r="C2">
        <v>3</v>
      </c>
      <c r="D2">
        <v>4</v>
      </c>
      <c r="E2">
        <v>9</v>
      </c>
      <c r="F2">
        <v>77</v>
      </c>
      <c r="G2">
        <v>0</v>
      </c>
      <c r="H2">
        <v>1714</v>
      </c>
    </row>
    <row r="3" spans="1:8" x14ac:dyDescent="0.35">
      <c r="A3" t="s">
        <v>265</v>
      </c>
      <c r="B3">
        <v>22</v>
      </c>
      <c r="C3">
        <v>1156</v>
      </c>
      <c r="D3">
        <v>0</v>
      </c>
      <c r="E3">
        <v>40</v>
      </c>
      <c r="F3">
        <v>50</v>
      </c>
      <c r="G3">
        <v>0</v>
      </c>
      <c r="H3">
        <v>1268</v>
      </c>
    </row>
    <row r="4" spans="1:8" x14ac:dyDescent="0.35">
      <c r="A4" t="s">
        <v>266</v>
      </c>
      <c r="B4">
        <v>8</v>
      </c>
      <c r="C4">
        <v>1</v>
      </c>
      <c r="D4">
        <v>661</v>
      </c>
      <c r="E4">
        <v>0</v>
      </c>
      <c r="F4">
        <v>0</v>
      </c>
      <c r="G4">
        <v>0</v>
      </c>
      <c r="H4">
        <v>670</v>
      </c>
    </row>
    <row r="5" spans="1:8" x14ac:dyDescent="0.35">
      <c r="A5" t="s">
        <v>267</v>
      </c>
      <c r="B5">
        <v>6</v>
      </c>
      <c r="C5">
        <v>6</v>
      </c>
      <c r="D5">
        <v>0</v>
      </c>
      <c r="E5">
        <v>919</v>
      </c>
      <c r="F5">
        <v>1</v>
      </c>
      <c r="G5">
        <v>0</v>
      </c>
      <c r="H5">
        <v>932</v>
      </c>
    </row>
    <row r="6" spans="1:8" x14ac:dyDescent="0.35">
      <c r="A6" t="s">
        <v>268</v>
      </c>
      <c r="B6">
        <v>1</v>
      </c>
      <c r="C6">
        <v>6</v>
      </c>
      <c r="D6">
        <v>0</v>
      </c>
      <c r="E6">
        <v>0</v>
      </c>
      <c r="F6">
        <v>23</v>
      </c>
      <c r="G6">
        <v>0</v>
      </c>
      <c r="H6">
        <v>30</v>
      </c>
    </row>
    <row r="7" spans="1:8" x14ac:dyDescent="0.35">
      <c r="A7" t="s">
        <v>269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3</v>
      </c>
    </row>
    <row r="8" spans="1:8" x14ac:dyDescent="0.35">
      <c r="A8" t="s">
        <v>9</v>
      </c>
      <c r="B8">
        <v>1658</v>
      </c>
      <c r="C8">
        <v>1173</v>
      </c>
      <c r="D8">
        <v>665</v>
      </c>
      <c r="E8">
        <v>969</v>
      </c>
      <c r="F8">
        <v>152</v>
      </c>
      <c r="G8">
        <v>0</v>
      </c>
      <c r="H8">
        <v>4617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9898-8FD8-4F4F-B3E8-46F64B42E278}">
  <dimension ref="A1:F53"/>
  <sheetViews>
    <sheetView topLeftCell="A23" workbookViewId="0">
      <selection activeCell="A23" sqref="A1:B1048576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4.81640625" style="1" customWidth="1"/>
    <col min="4" max="4" width="17.6328125" style="1" customWidth="1"/>
    <col min="5" max="6" width="14.1796875" style="1" customWidth="1"/>
  </cols>
  <sheetData>
    <row r="1" spans="1:6" ht="43.5" x14ac:dyDescent="0.35">
      <c r="A1" s="2" t="s">
        <v>10</v>
      </c>
      <c r="C1" s="2" t="s">
        <v>576</v>
      </c>
      <c r="D1" s="2" t="s">
        <v>577</v>
      </c>
      <c r="E1" s="2" t="s">
        <v>575</v>
      </c>
      <c r="F1" s="2" t="s">
        <v>578</v>
      </c>
    </row>
    <row r="2" spans="1:6" x14ac:dyDescent="0.35">
      <c r="A2" s="1" t="s">
        <v>444</v>
      </c>
      <c r="C2" s="2" t="s">
        <v>579</v>
      </c>
      <c r="D2" s="2" t="s">
        <v>580</v>
      </c>
      <c r="E2" s="2" t="s">
        <v>581</v>
      </c>
      <c r="F2" s="2" t="s">
        <v>582</v>
      </c>
    </row>
    <row r="3" spans="1:6" x14ac:dyDescent="0.35">
      <c r="A3" s="2" t="s">
        <v>193</v>
      </c>
      <c r="C3" s="1" t="s">
        <v>299</v>
      </c>
      <c r="D3" s="1" t="s">
        <v>300</v>
      </c>
      <c r="E3" s="1" t="s">
        <v>301</v>
      </c>
      <c r="F3" s="1" t="s">
        <v>302</v>
      </c>
    </row>
    <row r="4" spans="1:6" x14ac:dyDescent="0.35">
      <c r="A4" s="2" t="s">
        <v>194</v>
      </c>
      <c r="B4" s="2" t="s">
        <v>199</v>
      </c>
      <c r="C4" s="1" t="s">
        <v>303</v>
      </c>
      <c r="D4" s="1" t="s">
        <v>304</v>
      </c>
      <c r="E4" s="1" t="s">
        <v>305</v>
      </c>
      <c r="F4" s="1" t="s">
        <v>306</v>
      </c>
    </row>
    <row r="5" spans="1:6" x14ac:dyDescent="0.35">
      <c r="B5" s="2" t="s">
        <v>195</v>
      </c>
      <c r="C5" s="1" t="s">
        <v>307</v>
      </c>
      <c r="D5" s="1" t="s">
        <v>308</v>
      </c>
      <c r="E5" s="1" t="s">
        <v>309</v>
      </c>
      <c r="F5" s="1" t="s">
        <v>310</v>
      </c>
    </row>
    <row r="6" spans="1:6" x14ac:dyDescent="0.35">
      <c r="B6" s="2" t="s">
        <v>196</v>
      </c>
      <c r="C6" s="1" t="s">
        <v>311</v>
      </c>
      <c r="D6" s="1" t="s">
        <v>312</v>
      </c>
      <c r="E6" s="1" t="s">
        <v>313</v>
      </c>
      <c r="F6" s="1" t="s">
        <v>314</v>
      </c>
    </row>
    <row r="7" spans="1:6" x14ac:dyDescent="0.35">
      <c r="B7" s="2" t="s">
        <v>197</v>
      </c>
      <c r="C7" s="1" t="s">
        <v>315</v>
      </c>
      <c r="D7" s="1" t="s">
        <v>316</v>
      </c>
      <c r="E7" s="1" t="s">
        <v>317</v>
      </c>
      <c r="F7" s="1" t="s">
        <v>318</v>
      </c>
    </row>
    <row r="8" spans="1:6" x14ac:dyDescent="0.35">
      <c r="B8" s="2" t="s">
        <v>198</v>
      </c>
      <c r="C8" s="1" t="s">
        <v>319</v>
      </c>
      <c r="D8" s="1" t="s">
        <v>320</v>
      </c>
      <c r="E8" s="1" t="s">
        <v>321</v>
      </c>
      <c r="F8" s="1" t="s">
        <v>322</v>
      </c>
    </row>
    <row r="9" spans="1:6" x14ac:dyDescent="0.35">
      <c r="A9" s="2" t="s">
        <v>201</v>
      </c>
      <c r="C9" s="1" t="s">
        <v>337</v>
      </c>
      <c r="D9" s="1" t="s">
        <v>338</v>
      </c>
      <c r="E9" s="1" t="s">
        <v>339</v>
      </c>
      <c r="F9" s="1" t="s">
        <v>340</v>
      </c>
    </row>
    <row r="10" spans="1:6" x14ac:dyDescent="0.35">
      <c r="A10" s="2" t="s">
        <v>202</v>
      </c>
      <c r="B10" s="2" t="s">
        <v>203</v>
      </c>
      <c r="C10" s="1" t="s">
        <v>440</v>
      </c>
      <c r="D10" s="1" t="s">
        <v>441</v>
      </c>
      <c r="E10" s="1" t="s">
        <v>442</v>
      </c>
      <c r="F10" s="1" t="s">
        <v>443</v>
      </c>
    </row>
    <row r="11" spans="1:6" x14ac:dyDescent="0.35">
      <c r="B11" s="2" t="s">
        <v>204</v>
      </c>
      <c r="C11" s="1" t="s">
        <v>330</v>
      </c>
      <c r="D11" s="1" t="s">
        <v>331</v>
      </c>
      <c r="E11" s="1" t="s">
        <v>332</v>
      </c>
      <c r="F11" s="1" t="s">
        <v>333</v>
      </c>
    </row>
    <row r="12" spans="1:6" ht="29" x14ac:dyDescent="0.35">
      <c r="B12" s="2" t="s">
        <v>205</v>
      </c>
      <c r="C12" s="1" t="s">
        <v>323</v>
      </c>
      <c r="D12" s="1" t="s">
        <v>324</v>
      </c>
      <c r="E12" s="1" t="s">
        <v>62</v>
      </c>
      <c r="F12" s="1" t="s">
        <v>325</v>
      </c>
    </row>
    <row r="13" spans="1:6" x14ac:dyDescent="0.35">
      <c r="B13" s="2" t="s">
        <v>206</v>
      </c>
      <c r="C13" s="1" t="s">
        <v>326</v>
      </c>
      <c r="D13" s="1" t="s">
        <v>327</v>
      </c>
      <c r="E13" s="1" t="s">
        <v>328</v>
      </c>
      <c r="F13" s="1" t="s">
        <v>329</v>
      </c>
    </row>
    <row r="14" spans="1:6" x14ac:dyDescent="0.35">
      <c r="B14" s="2" t="s">
        <v>207</v>
      </c>
      <c r="C14" s="1" t="s">
        <v>371</v>
      </c>
      <c r="D14" s="1" t="s">
        <v>372</v>
      </c>
      <c r="E14" s="1" t="s">
        <v>373</v>
      </c>
      <c r="F14" s="1" t="s">
        <v>374</v>
      </c>
    </row>
    <row r="15" spans="1:6" x14ac:dyDescent="0.35">
      <c r="B15" s="2" t="s">
        <v>208</v>
      </c>
      <c r="C15" s="1" t="s">
        <v>394</v>
      </c>
      <c r="D15" s="1" t="s">
        <v>388</v>
      </c>
      <c r="E15" s="1" t="s">
        <v>395</v>
      </c>
      <c r="F15" s="1" t="s">
        <v>396</v>
      </c>
    </row>
    <row r="16" spans="1:6" x14ac:dyDescent="0.35">
      <c r="B16" s="2" t="s">
        <v>209</v>
      </c>
      <c r="C16" s="1" t="s">
        <v>335</v>
      </c>
      <c r="D16" s="1" t="s">
        <v>84</v>
      </c>
      <c r="E16" s="1" t="s">
        <v>336</v>
      </c>
      <c r="F16" s="1" t="s">
        <v>335</v>
      </c>
    </row>
    <row r="17" spans="1:6" x14ac:dyDescent="0.35">
      <c r="A17" s="2" t="s">
        <v>234</v>
      </c>
      <c r="B17" s="2" t="s">
        <v>237</v>
      </c>
      <c r="C17" s="1" t="s">
        <v>352</v>
      </c>
      <c r="D17" s="1" t="s">
        <v>353</v>
      </c>
      <c r="E17" s="1" t="s">
        <v>342</v>
      </c>
      <c r="F17" s="1" t="s">
        <v>354</v>
      </c>
    </row>
    <row r="18" spans="1:6" ht="29" x14ac:dyDescent="0.35">
      <c r="B18" s="2" t="s">
        <v>239</v>
      </c>
      <c r="C18" s="1" t="s">
        <v>346</v>
      </c>
      <c r="D18" s="1" t="s">
        <v>292</v>
      </c>
      <c r="E18" s="1" t="s">
        <v>347</v>
      </c>
      <c r="F18" s="1" t="s">
        <v>348</v>
      </c>
    </row>
    <row r="19" spans="1:6" ht="29" x14ac:dyDescent="0.35">
      <c r="B19" s="2" t="s">
        <v>238</v>
      </c>
      <c r="C19" s="1" t="s">
        <v>349</v>
      </c>
      <c r="D19" s="1" t="s">
        <v>350</v>
      </c>
      <c r="E19" s="1" t="s">
        <v>351</v>
      </c>
      <c r="F19" s="1" t="s">
        <v>282</v>
      </c>
    </row>
    <row r="20" spans="1:6" x14ac:dyDescent="0.35">
      <c r="B20" s="2" t="s">
        <v>236</v>
      </c>
      <c r="C20" s="1" t="s">
        <v>355</v>
      </c>
      <c r="D20" s="1" t="s">
        <v>356</v>
      </c>
      <c r="E20" s="1" t="s">
        <v>357</v>
      </c>
      <c r="F20" s="1" t="s">
        <v>358</v>
      </c>
    </row>
    <row r="21" spans="1:6" x14ac:dyDescent="0.35">
      <c r="B21" s="2" t="s">
        <v>235</v>
      </c>
      <c r="C21" s="1" t="s">
        <v>14</v>
      </c>
      <c r="D21" s="1" t="s">
        <v>14</v>
      </c>
      <c r="E21" s="1" t="s">
        <v>84</v>
      </c>
      <c r="F21" s="1" t="s">
        <v>14</v>
      </c>
    </row>
    <row r="22" spans="1:6" x14ac:dyDescent="0.35">
      <c r="A22" s="2" t="s">
        <v>214</v>
      </c>
      <c r="B22" s="2" t="s">
        <v>219</v>
      </c>
      <c r="C22" s="1" t="s">
        <v>359</v>
      </c>
      <c r="D22" s="1" t="s">
        <v>84</v>
      </c>
      <c r="E22" s="1" t="s">
        <v>360</v>
      </c>
      <c r="F22" s="1" t="s">
        <v>361</v>
      </c>
    </row>
    <row r="23" spans="1:6" x14ac:dyDescent="0.35">
      <c r="B23" s="2" t="s">
        <v>218</v>
      </c>
      <c r="C23" s="1" t="s">
        <v>335</v>
      </c>
      <c r="D23" s="1" t="s">
        <v>14</v>
      </c>
      <c r="E23" s="1" t="s">
        <v>362</v>
      </c>
      <c r="F23" s="1" t="s">
        <v>363</v>
      </c>
    </row>
    <row r="24" spans="1:6" x14ac:dyDescent="0.35">
      <c r="B24" s="2" t="s">
        <v>217</v>
      </c>
      <c r="C24" s="1" t="s">
        <v>364</v>
      </c>
      <c r="D24" s="1" t="s">
        <v>14</v>
      </c>
      <c r="E24" s="1" t="s">
        <v>365</v>
      </c>
      <c r="F24" s="1" t="s">
        <v>366</v>
      </c>
    </row>
    <row r="25" spans="1:6" ht="29" x14ac:dyDescent="0.35">
      <c r="B25" s="2" t="s">
        <v>216</v>
      </c>
      <c r="C25" s="1" t="s">
        <v>367</v>
      </c>
      <c r="D25" s="1" t="s">
        <v>368</v>
      </c>
      <c r="E25" s="1" t="s">
        <v>14</v>
      </c>
      <c r="F25" s="1" t="s">
        <v>335</v>
      </c>
    </row>
    <row r="26" spans="1:6" x14ac:dyDescent="0.35">
      <c r="B26" s="2" t="s">
        <v>215</v>
      </c>
      <c r="C26" s="1" t="s">
        <v>369</v>
      </c>
      <c r="D26" s="1" t="s">
        <v>14</v>
      </c>
      <c r="E26" s="1" t="s">
        <v>313</v>
      </c>
      <c r="F26" s="1" t="s">
        <v>370</v>
      </c>
    </row>
    <row r="27" spans="1:6" x14ac:dyDescent="0.35">
      <c r="A27" s="2" t="s">
        <v>220</v>
      </c>
      <c r="B27" s="2" t="s">
        <v>221</v>
      </c>
      <c r="C27" s="1" t="s">
        <v>428</v>
      </c>
      <c r="D27" s="1" t="s">
        <v>429</v>
      </c>
      <c r="E27" s="1" t="s">
        <v>386</v>
      </c>
      <c r="F27" s="1" t="s">
        <v>14</v>
      </c>
    </row>
    <row r="28" spans="1:6" x14ac:dyDescent="0.35">
      <c r="B28" s="2" t="s">
        <v>222</v>
      </c>
      <c r="C28" s="1" t="s">
        <v>430</v>
      </c>
      <c r="D28" s="1" t="s">
        <v>431</v>
      </c>
      <c r="E28" s="1" t="s">
        <v>14</v>
      </c>
      <c r="F28" s="1" t="s">
        <v>432</v>
      </c>
    </row>
    <row r="29" spans="1:6" ht="29" x14ac:dyDescent="0.35">
      <c r="B29" s="2" t="s">
        <v>223</v>
      </c>
      <c r="C29" s="1" t="s">
        <v>84</v>
      </c>
      <c r="D29" s="1" t="s">
        <v>376</v>
      </c>
      <c r="E29" s="1" t="s">
        <v>14</v>
      </c>
      <c r="F29" s="1" t="s">
        <v>433</v>
      </c>
    </row>
    <row r="30" spans="1:6" ht="29" x14ac:dyDescent="0.35">
      <c r="B30" s="2" t="s">
        <v>225</v>
      </c>
      <c r="C30" s="1" t="s">
        <v>388</v>
      </c>
      <c r="D30" s="1" t="s">
        <v>14</v>
      </c>
      <c r="E30" s="1" t="s">
        <v>14</v>
      </c>
      <c r="F30" s="1" t="s">
        <v>377</v>
      </c>
    </row>
    <row r="31" spans="1:6" x14ac:dyDescent="0.35">
      <c r="B31" s="2" t="s">
        <v>208</v>
      </c>
      <c r="C31" s="1" t="s">
        <v>334</v>
      </c>
      <c r="D31" s="1" t="s">
        <v>335</v>
      </c>
      <c r="E31" s="1" t="s">
        <v>14</v>
      </c>
      <c r="F31" s="1" t="s">
        <v>363</v>
      </c>
    </row>
    <row r="32" spans="1:6" x14ac:dyDescent="0.35">
      <c r="B32" s="2" t="s">
        <v>226</v>
      </c>
      <c r="C32" s="1" t="s">
        <v>437</v>
      </c>
      <c r="D32" s="1" t="s">
        <v>438</v>
      </c>
      <c r="E32" s="1" t="s">
        <v>14</v>
      </c>
      <c r="F32" s="1" t="s">
        <v>439</v>
      </c>
    </row>
    <row r="33" spans="1:6" x14ac:dyDescent="0.35">
      <c r="B33" s="2" t="s">
        <v>224</v>
      </c>
      <c r="C33" s="1" t="s">
        <v>434</v>
      </c>
      <c r="D33" s="1" t="s">
        <v>435</v>
      </c>
      <c r="E33" s="1" t="s">
        <v>14</v>
      </c>
      <c r="F33" s="1" t="s">
        <v>436</v>
      </c>
    </row>
    <row r="34" spans="1:6" ht="29" x14ac:dyDescent="0.35">
      <c r="A34" s="2" t="s">
        <v>229</v>
      </c>
      <c r="B34" s="2" t="s">
        <v>228</v>
      </c>
      <c r="C34" s="1" t="s">
        <v>405</v>
      </c>
      <c r="D34" s="1" t="s">
        <v>406</v>
      </c>
      <c r="E34" s="1" t="s">
        <v>407</v>
      </c>
      <c r="F34" s="1" t="s">
        <v>408</v>
      </c>
    </row>
    <row r="35" spans="1:6" ht="29" x14ac:dyDescent="0.35">
      <c r="B35" s="2" t="s">
        <v>227</v>
      </c>
      <c r="C35" s="1" t="s">
        <v>381</v>
      </c>
      <c r="D35" s="1" t="s">
        <v>391</v>
      </c>
      <c r="E35" s="1" t="s">
        <v>392</v>
      </c>
      <c r="F35" s="1" t="s">
        <v>393</v>
      </c>
    </row>
    <row r="36" spans="1:6" x14ac:dyDescent="0.35">
      <c r="A36" s="2" t="s">
        <v>233</v>
      </c>
      <c r="B36" s="2" t="s">
        <v>230</v>
      </c>
      <c r="C36" s="1" t="s">
        <v>14</v>
      </c>
      <c r="D36" s="1" t="s">
        <v>412</v>
      </c>
      <c r="E36" s="1" t="s">
        <v>386</v>
      </c>
      <c r="F36" s="1" t="s">
        <v>387</v>
      </c>
    </row>
    <row r="37" spans="1:6" x14ac:dyDescent="0.35">
      <c r="B37" s="2" t="s">
        <v>231</v>
      </c>
      <c r="C37" s="1" t="s">
        <v>409</v>
      </c>
      <c r="D37" s="1" t="s">
        <v>410</v>
      </c>
      <c r="E37" s="1" t="s">
        <v>14</v>
      </c>
      <c r="F37" s="1" t="s">
        <v>14</v>
      </c>
    </row>
    <row r="38" spans="1:6" x14ac:dyDescent="0.35">
      <c r="B38" s="2" t="s">
        <v>232</v>
      </c>
      <c r="C38" s="1" t="s">
        <v>411</v>
      </c>
      <c r="D38" s="1" t="s">
        <v>353</v>
      </c>
      <c r="E38" s="1" t="s">
        <v>14</v>
      </c>
      <c r="F38" s="1" t="s">
        <v>14</v>
      </c>
    </row>
    <row r="39" spans="1:6" ht="29" x14ac:dyDescent="0.35">
      <c r="A39" s="2" t="s">
        <v>241</v>
      </c>
      <c r="C39" s="1" t="s">
        <v>401</v>
      </c>
      <c r="D39" s="1" t="s">
        <v>402</v>
      </c>
      <c r="E39" s="1" t="s">
        <v>403</v>
      </c>
      <c r="F39" s="1" t="s">
        <v>404</v>
      </c>
    </row>
    <row r="40" spans="1:6" ht="29" x14ac:dyDescent="0.35">
      <c r="A40" s="2" t="s">
        <v>243</v>
      </c>
      <c r="C40" s="1" t="s">
        <v>397</v>
      </c>
      <c r="D40" s="1" t="s">
        <v>398</v>
      </c>
      <c r="E40" s="1" t="s">
        <v>399</v>
      </c>
      <c r="F40" s="1" t="s">
        <v>400</v>
      </c>
    </row>
    <row r="41" spans="1:6" x14ac:dyDescent="0.35">
      <c r="A41" s="1" t="s">
        <v>244</v>
      </c>
      <c r="B41" s="2" t="s">
        <v>245</v>
      </c>
      <c r="C41" s="1" t="s">
        <v>275</v>
      </c>
      <c r="D41" s="1" t="s">
        <v>276</v>
      </c>
      <c r="E41" s="1" t="s">
        <v>277</v>
      </c>
      <c r="F41" s="1" t="s">
        <v>278</v>
      </c>
    </row>
    <row r="42" spans="1:6" x14ac:dyDescent="0.35">
      <c r="A42" s="1"/>
      <c r="B42" s="2" t="s">
        <v>249</v>
      </c>
      <c r="C42" s="1" t="s">
        <v>291</v>
      </c>
      <c r="D42" s="1" t="s">
        <v>292</v>
      </c>
      <c r="E42" s="1" t="s">
        <v>293</v>
      </c>
      <c r="F42" s="1" t="s">
        <v>294</v>
      </c>
    </row>
    <row r="43" spans="1:6" x14ac:dyDescent="0.35">
      <c r="A43" s="1"/>
      <c r="B43" s="2" t="s">
        <v>246</v>
      </c>
      <c r="C43" s="1" t="s">
        <v>279</v>
      </c>
      <c r="D43" s="1" t="s">
        <v>280</v>
      </c>
      <c r="E43" s="1" t="s">
        <v>281</v>
      </c>
      <c r="F43" s="1" t="s">
        <v>282</v>
      </c>
    </row>
    <row r="44" spans="1:6" x14ac:dyDescent="0.35">
      <c r="A44" s="1"/>
      <c r="B44" s="2" t="s">
        <v>247</v>
      </c>
      <c r="C44" s="1" t="s">
        <v>283</v>
      </c>
      <c r="D44" s="1" t="s">
        <v>284</v>
      </c>
      <c r="E44" s="1" t="s">
        <v>285</v>
      </c>
      <c r="F44" s="1" t="s">
        <v>286</v>
      </c>
    </row>
    <row r="45" spans="1:6" x14ac:dyDescent="0.35">
      <c r="A45" s="1"/>
      <c r="B45" s="2" t="s">
        <v>248</v>
      </c>
      <c r="C45" s="1" t="s">
        <v>287</v>
      </c>
      <c r="D45" s="1" t="s">
        <v>288</v>
      </c>
      <c r="E45" s="1" t="s">
        <v>289</v>
      </c>
      <c r="F45" s="1" t="s">
        <v>290</v>
      </c>
    </row>
    <row r="46" spans="1:6" x14ac:dyDescent="0.35">
      <c r="A46" s="2" t="s">
        <v>240</v>
      </c>
      <c r="C46" s="1" t="s">
        <v>295</v>
      </c>
      <c r="D46" s="1" t="s">
        <v>296</v>
      </c>
      <c r="E46" s="1" t="s">
        <v>297</v>
      </c>
      <c r="F46" s="1" t="s">
        <v>298</v>
      </c>
    </row>
    <row r="47" spans="1:6" x14ac:dyDescent="0.35">
      <c r="A47" s="2" t="s">
        <v>210</v>
      </c>
      <c r="B47" s="2" t="s">
        <v>213</v>
      </c>
      <c r="C47" s="1" t="s">
        <v>375</v>
      </c>
      <c r="D47" s="1" t="s">
        <v>376</v>
      </c>
      <c r="E47" s="1" t="s">
        <v>342</v>
      </c>
      <c r="F47" s="1" t="s">
        <v>377</v>
      </c>
    </row>
    <row r="48" spans="1:6" x14ac:dyDescent="0.35">
      <c r="B48" s="2" t="s">
        <v>212</v>
      </c>
      <c r="C48" s="1" t="s">
        <v>378</v>
      </c>
      <c r="D48" s="1" t="s">
        <v>379</v>
      </c>
      <c r="E48" s="1" t="s">
        <v>380</v>
      </c>
      <c r="F48" s="1" t="s">
        <v>381</v>
      </c>
    </row>
    <row r="49" spans="1:6" x14ac:dyDescent="0.35">
      <c r="B49" s="2" t="s">
        <v>211</v>
      </c>
      <c r="C49" s="1" t="s">
        <v>382</v>
      </c>
      <c r="D49" s="1" t="s">
        <v>383</v>
      </c>
      <c r="E49" s="1" t="s">
        <v>384</v>
      </c>
      <c r="F49" s="1" t="s">
        <v>385</v>
      </c>
    </row>
    <row r="50" spans="1:6" x14ac:dyDescent="0.35">
      <c r="A50" s="1" t="s">
        <v>242</v>
      </c>
      <c r="B50" s="2" t="s">
        <v>583</v>
      </c>
      <c r="C50" s="1" t="s">
        <v>413</v>
      </c>
      <c r="D50" s="1" t="s">
        <v>341</v>
      </c>
      <c r="E50" s="1" t="s">
        <v>414</v>
      </c>
      <c r="F50" s="1" t="s">
        <v>415</v>
      </c>
    </row>
    <row r="51" spans="1:6" x14ac:dyDescent="0.35">
      <c r="A51" s="1"/>
      <c r="B51" s="2" t="s">
        <v>584</v>
      </c>
      <c r="C51" s="1" t="s">
        <v>416</v>
      </c>
      <c r="D51" s="1" t="s">
        <v>417</v>
      </c>
      <c r="E51" s="1" t="s">
        <v>418</v>
      </c>
      <c r="F51" s="1" t="s">
        <v>419</v>
      </c>
    </row>
    <row r="52" spans="1:6" x14ac:dyDescent="0.35">
      <c r="A52" s="1"/>
      <c r="B52" s="2" t="s">
        <v>585</v>
      </c>
      <c r="C52" s="1" t="s">
        <v>420</v>
      </c>
      <c r="D52" s="1" t="s">
        <v>421</v>
      </c>
      <c r="E52" s="1" t="s">
        <v>422</v>
      </c>
      <c r="F52" s="1" t="s">
        <v>423</v>
      </c>
    </row>
    <row r="53" spans="1:6" x14ac:dyDescent="0.35">
      <c r="A53" s="1"/>
      <c r="B53" s="2" t="s">
        <v>586</v>
      </c>
      <c r="C53" s="1" t="s">
        <v>424</v>
      </c>
      <c r="D53" s="1" t="s">
        <v>425</v>
      </c>
      <c r="E53" s="1" t="s">
        <v>426</v>
      </c>
      <c r="F53" s="1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5A4E-60BC-4991-84C0-5E611E81998E}">
  <dimension ref="A1:F53"/>
  <sheetViews>
    <sheetView topLeftCell="A8" workbookViewId="0">
      <selection activeCell="L8" sqref="L8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3.90625" style="1" customWidth="1"/>
    <col min="4" max="4" width="14.81640625" style="1" customWidth="1"/>
    <col min="5" max="5" width="13.7265625" style="1" customWidth="1"/>
    <col min="6" max="6" width="13.90625" style="1" customWidth="1"/>
  </cols>
  <sheetData>
    <row r="1" spans="1:6" s="4" customFormat="1" ht="43.5" x14ac:dyDescent="0.35">
      <c r="A1" s="2" t="s">
        <v>10</v>
      </c>
      <c r="B1" s="2"/>
      <c r="C1" s="2" t="s">
        <v>576</v>
      </c>
      <c r="D1" s="2" t="s">
        <v>577</v>
      </c>
      <c r="E1" s="2" t="s">
        <v>575</v>
      </c>
      <c r="F1" s="2" t="s">
        <v>578</v>
      </c>
    </row>
    <row r="2" spans="1:6" x14ac:dyDescent="0.35">
      <c r="A2" s="1" t="s">
        <v>444</v>
      </c>
      <c r="C2" s="1" t="s">
        <v>445</v>
      </c>
      <c r="D2" s="1" t="s">
        <v>446</v>
      </c>
      <c r="E2" s="1" t="s">
        <v>447</v>
      </c>
      <c r="F2" s="1" t="s">
        <v>448</v>
      </c>
    </row>
    <row r="3" spans="1:6" x14ac:dyDescent="0.35">
      <c r="A3" s="2" t="s">
        <v>193</v>
      </c>
      <c r="C3" s="1" t="s">
        <v>463</v>
      </c>
      <c r="D3" s="1" t="s">
        <v>464</v>
      </c>
      <c r="E3" s="1" t="s">
        <v>465</v>
      </c>
      <c r="F3" s="1" t="s">
        <v>466</v>
      </c>
    </row>
    <row r="4" spans="1:6" x14ac:dyDescent="0.35">
      <c r="A4" s="2" t="s">
        <v>194</v>
      </c>
      <c r="B4" s="2" t="s">
        <v>199</v>
      </c>
      <c r="C4" s="1" t="s">
        <v>14</v>
      </c>
      <c r="D4" s="1" t="s">
        <v>14</v>
      </c>
      <c r="E4" s="1" t="s">
        <v>14</v>
      </c>
      <c r="F4" s="1" t="s">
        <v>14</v>
      </c>
    </row>
    <row r="5" spans="1:6" x14ac:dyDescent="0.35">
      <c r="B5" s="2" t="s">
        <v>195</v>
      </c>
      <c r="C5" s="1" t="s">
        <v>467</v>
      </c>
      <c r="D5" s="1" t="s">
        <v>304</v>
      </c>
      <c r="E5" s="1" t="s">
        <v>468</v>
      </c>
      <c r="F5" s="1" t="s">
        <v>469</v>
      </c>
    </row>
    <row r="6" spans="1:6" x14ac:dyDescent="0.35">
      <c r="B6" s="2" t="s">
        <v>196</v>
      </c>
      <c r="C6" s="1" t="s">
        <v>470</v>
      </c>
      <c r="D6" s="1" t="s">
        <v>471</v>
      </c>
      <c r="E6" s="1" t="s">
        <v>472</v>
      </c>
      <c r="F6" s="1" t="s">
        <v>473</v>
      </c>
    </row>
    <row r="7" spans="1:6" x14ac:dyDescent="0.35">
      <c r="B7" s="2" t="s">
        <v>197</v>
      </c>
      <c r="C7" s="1" t="s">
        <v>474</v>
      </c>
      <c r="D7" s="1" t="s">
        <v>475</v>
      </c>
      <c r="E7" s="1" t="s">
        <v>476</v>
      </c>
      <c r="F7" s="1" t="s">
        <v>477</v>
      </c>
    </row>
    <row r="8" spans="1:6" x14ac:dyDescent="0.35">
      <c r="B8" s="2" t="s">
        <v>198</v>
      </c>
      <c r="C8" s="1" t="s">
        <v>478</v>
      </c>
      <c r="D8" s="1" t="s">
        <v>343</v>
      </c>
      <c r="E8" s="1" t="s">
        <v>479</v>
      </c>
      <c r="F8" s="1" t="s">
        <v>480</v>
      </c>
    </row>
    <row r="9" spans="1:6" x14ac:dyDescent="0.35">
      <c r="A9" s="2" t="s">
        <v>201</v>
      </c>
      <c r="C9" s="1" t="s">
        <v>488</v>
      </c>
      <c r="D9" s="1" t="s">
        <v>489</v>
      </c>
      <c r="E9" s="1" t="s">
        <v>490</v>
      </c>
      <c r="F9" s="1" t="s">
        <v>491</v>
      </c>
    </row>
    <row r="10" spans="1:6" x14ac:dyDescent="0.35">
      <c r="A10" s="2" t="s">
        <v>202</v>
      </c>
      <c r="B10" s="2" t="s">
        <v>203</v>
      </c>
    </row>
    <row r="11" spans="1:6" x14ac:dyDescent="0.35">
      <c r="B11" s="2" t="s">
        <v>204</v>
      </c>
      <c r="C11" s="1" t="s">
        <v>484</v>
      </c>
      <c r="D11" s="1" t="s">
        <v>331</v>
      </c>
      <c r="E11" s="1" t="s">
        <v>485</v>
      </c>
      <c r="F11" s="1" t="s">
        <v>486</v>
      </c>
    </row>
    <row r="12" spans="1:6" ht="29" x14ac:dyDescent="0.35">
      <c r="B12" s="2" t="s">
        <v>205</v>
      </c>
      <c r="C12" s="1" t="s">
        <v>320</v>
      </c>
      <c r="D12" s="1" t="s">
        <v>324</v>
      </c>
      <c r="E12" s="1" t="s">
        <v>69</v>
      </c>
      <c r="F12" s="1" t="s">
        <v>362</v>
      </c>
    </row>
    <row r="13" spans="1:6" x14ac:dyDescent="0.35">
      <c r="B13" s="2" t="s">
        <v>206</v>
      </c>
      <c r="C13" s="1" t="s">
        <v>481</v>
      </c>
      <c r="D13" s="1" t="s">
        <v>327</v>
      </c>
      <c r="E13" s="1" t="s">
        <v>482</v>
      </c>
      <c r="F13" s="1" t="s">
        <v>483</v>
      </c>
    </row>
    <row r="14" spans="1:6" x14ac:dyDescent="0.35">
      <c r="B14" s="2" t="s">
        <v>207</v>
      </c>
      <c r="C14" s="1" t="s">
        <v>435</v>
      </c>
      <c r="D14" s="1" t="s">
        <v>353</v>
      </c>
      <c r="E14" s="1" t="s">
        <v>518</v>
      </c>
      <c r="F14" s="1" t="s">
        <v>519</v>
      </c>
    </row>
    <row r="15" spans="1:6" x14ac:dyDescent="0.35">
      <c r="B15" s="2" t="s">
        <v>208</v>
      </c>
      <c r="C15" s="1" t="s">
        <v>394</v>
      </c>
      <c r="D15" s="1" t="s">
        <v>388</v>
      </c>
      <c r="E15" s="1" t="s">
        <v>390</v>
      </c>
      <c r="F15" s="1" t="s">
        <v>535</v>
      </c>
    </row>
    <row r="16" spans="1:6" x14ac:dyDescent="0.35">
      <c r="B16" s="2" t="s">
        <v>209</v>
      </c>
      <c r="C16" s="1" t="s">
        <v>84</v>
      </c>
      <c r="D16" s="1" t="s">
        <v>84</v>
      </c>
      <c r="E16" s="1" t="s">
        <v>336</v>
      </c>
      <c r="F16" s="1" t="s">
        <v>325</v>
      </c>
    </row>
    <row r="17" spans="1:6" x14ac:dyDescent="0.35">
      <c r="A17" s="2" t="s">
        <v>234</v>
      </c>
      <c r="B17" s="2" t="s">
        <v>237</v>
      </c>
      <c r="C17" s="1" t="s">
        <v>276</v>
      </c>
      <c r="D17" s="1" t="s">
        <v>341</v>
      </c>
      <c r="E17" s="1" t="s">
        <v>392</v>
      </c>
      <c r="F17" s="1" t="s">
        <v>499</v>
      </c>
    </row>
    <row r="18" spans="1:6" ht="29" x14ac:dyDescent="0.35">
      <c r="B18" s="2" t="s">
        <v>239</v>
      </c>
      <c r="C18" s="1" t="s">
        <v>492</v>
      </c>
      <c r="D18" s="1" t="s">
        <v>292</v>
      </c>
      <c r="E18" s="1" t="s">
        <v>493</v>
      </c>
      <c r="F18" s="1" t="s">
        <v>494</v>
      </c>
    </row>
    <row r="19" spans="1:6" ht="29" x14ac:dyDescent="0.35">
      <c r="B19" s="2" t="s">
        <v>238</v>
      </c>
      <c r="C19" s="1" t="s">
        <v>495</v>
      </c>
      <c r="D19" s="1" t="s">
        <v>496</v>
      </c>
      <c r="E19" s="1" t="s">
        <v>497</v>
      </c>
      <c r="F19" s="1" t="s">
        <v>498</v>
      </c>
    </row>
    <row r="20" spans="1:6" x14ac:dyDescent="0.35">
      <c r="B20" s="2" t="s">
        <v>236</v>
      </c>
      <c r="C20" s="1" t="s">
        <v>500</v>
      </c>
      <c r="D20" s="1" t="s">
        <v>501</v>
      </c>
      <c r="E20" s="1" t="s">
        <v>502</v>
      </c>
      <c r="F20" s="1" t="s">
        <v>503</v>
      </c>
    </row>
    <row r="21" spans="1:6" x14ac:dyDescent="0.35">
      <c r="B21" s="2" t="s">
        <v>235</v>
      </c>
      <c r="C21" s="1" t="s">
        <v>14</v>
      </c>
      <c r="D21" s="1" t="s">
        <v>14</v>
      </c>
      <c r="E21" s="1" t="s">
        <v>84</v>
      </c>
      <c r="F21" s="1" t="s">
        <v>14</v>
      </c>
    </row>
    <row r="22" spans="1:6" x14ac:dyDescent="0.35">
      <c r="A22" s="2" t="s">
        <v>214</v>
      </c>
      <c r="B22" s="2" t="s">
        <v>219</v>
      </c>
      <c r="C22" s="1" t="s">
        <v>507</v>
      </c>
      <c r="D22" s="1" t="s">
        <v>14</v>
      </c>
      <c r="E22" s="1" t="s">
        <v>508</v>
      </c>
      <c r="F22" s="1" t="s">
        <v>509</v>
      </c>
    </row>
    <row r="23" spans="1:6" x14ac:dyDescent="0.35">
      <c r="B23" s="2" t="s">
        <v>218</v>
      </c>
      <c r="C23" s="1" t="s">
        <v>319</v>
      </c>
      <c r="D23" s="1" t="s">
        <v>14</v>
      </c>
      <c r="E23" s="1" t="s">
        <v>510</v>
      </c>
      <c r="F23" s="1" t="s">
        <v>487</v>
      </c>
    </row>
    <row r="24" spans="1:6" x14ac:dyDescent="0.35">
      <c r="B24" s="2" t="s">
        <v>217</v>
      </c>
      <c r="C24" s="1" t="s">
        <v>511</v>
      </c>
      <c r="D24" s="1" t="s">
        <v>14</v>
      </c>
      <c r="E24" s="1" t="s">
        <v>512</v>
      </c>
      <c r="F24" s="1" t="s">
        <v>513</v>
      </c>
    </row>
    <row r="25" spans="1:6" ht="29" x14ac:dyDescent="0.35">
      <c r="B25" s="2" t="s">
        <v>216</v>
      </c>
      <c r="C25" s="1" t="s">
        <v>514</v>
      </c>
      <c r="D25" s="1" t="s">
        <v>504</v>
      </c>
      <c r="E25" s="1" t="s">
        <v>14</v>
      </c>
      <c r="F25" s="1" t="s">
        <v>335</v>
      </c>
    </row>
    <row r="26" spans="1:6" x14ac:dyDescent="0.35">
      <c r="B26" s="2" t="s">
        <v>215</v>
      </c>
      <c r="C26" s="1" t="s">
        <v>515</v>
      </c>
      <c r="D26" s="1" t="s">
        <v>14</v>
      </c>
      <c r="E26" s="1" t="s">
        <v>516</v>
      </c>
      <c r="F26" s="1" t="s">
        <v>517</v>
      </c>
    </row>
    <row r="27" spans="1:6" x14ac:dyDescent="0.35">
      <c r="A27" s="2" t="s">
        <v>220</v>
      </c>
      <c r="B27" s="2" t="s">
        <v>221</v>
      </c>
      <c r="C27" s="1" t="s">
        <v>563</v>
      </c>
      <c r="D27" s="1" t="s">
        <v>534</v>
      </c>
      <c r="E27" s="1" t="s">
        <v>505</v>
      </c>
      <c r="F27" s="1" t="s">
        <v>14</v>
      </c>
    </row>
    <row r="28" spans="1:6" x14ac:dyDescent="0.35">
      <c r="B28" s="2" t="s">
        <v>222</v>
      </c>
      <c r="C28" s="1" t="s">
        <v>564</v>
      </c>
      <c r="D28" s="1" t="s">
        <v>565</v>
      </c>
      <c r="E28" s="1" t="s">
        <v>14</v>
      </c>
      <c r="F28" s="1" t="s">
        <v>566</v>
      </c>
    </row>
    <row r="29" spans="1:6" ht="29" x14ac:dyDescent="0.35">
      <c r="B29" s="2" t="s">
        <v>223</v>
      </c>
      <c r="C29" s="1" t="s">
        <v>14</v>
      </c>
      <c r="D29" s="1" t="s">
        <v>389</v>
      </c>
      <c r="E29" s="1" t="s">
        <v>14</v>
      </c>
      <c r="F29" s="1" t="s">
        <v>567</v>
      </c>
    </row>
    <row r="30" spans="1:6" ht="29" x14ac:dyDescent="0.35">
      <c r="B30" s="2" t="s">
        <v>225</v>
      </c>
      <c r="C30" s="1" t="s">
        <v>558</v>
      </c>
      <c r="D30" s="1" t="s">
        <v>14</v>
      </c>
      <c r="E30" s="1" t="s">
        <v>14</v>
      </c>
      <c r="F30" s="1" t="s">
        <v>569</v>
      </c>
    </row>
    <row r="31" spans="1:6" x14ac:dyDescent="0.35">
      <c r="B31" s="2" t="s">
        <v>208</v>
      </c>
      <c r="C31" s="1" t="s">
        <v>570</v>
      </c>
      <c r="D31" s="1" t="s">
        <v>571</v>
      </c>
      <c r="E31" s="1" t="s">
        <v>14</v>
      </c>
      <c r="F31" s="1" t="s">
        <v>572</v>
      </c>
    </row>
    <row r="32" spans="1:6" x14ac:dyDescent="0.35">
      <c r="B32" s="2" t="s">
        <v>226</v>
      </c>
      <c r="C32" s="1" t="s">
        <v>449</v>
      </c>
      <c r="D32" s="1" t="s">
        <v>573</v>
      </c>
      <c r="E32" s="1" t="s">
        <v>14</v>
      </c>
      <c r="F32" s="1" t="s">
        <v>574</v>
      </c>
    </row>
    <row r="33" spans="1:6" x14ac:dyDescent="0.35">
      <c r="B33" s="2" t="s">
        <v>224</v>
      </c>
      <c r="C33" s="1" t="s">
        <v>405</v>
      </c>
      <c r="D33" s="1" t="s">
        <v>521</v>
      </c>
      <c r="E33" s="1" t="s">
        <v>14</v>
      </c>
      <c r="F33" s="1" t="s">
        <v>568</v>
      </c>
    </row>
    <row r="34" spans="1:6" ht="29" x14ac:dyDescent="0.35">
      <c r="A34" s="2" t="s">
        <v>229</v>
      </c>
      <c r="B34" s="2" t="s">
        <v>228</v>
      </c>
      <c r="C34" s="1" t="s">
        <v>344</v>
      </c>
      <c r="D34" s="1" t="s">
        <v>544</v>
      </c>
      <c r="E34" s="1" t="s">
        <v>532</v>
      </c>
      <c r="F34" s="1" t="s">
        <v>545</v>
      </c>
    </row>
    <row r="35" spans="1:6" ht="29" x14ac:dyDescent="0.35">
      <c r="B35" s="2" t="s">
        <v>227</v>
      </c>
      <c r="C35" s="1" t="s">
        <v>531</v>
      </c>
      <c r="D35" s="1" t="s">
        <v>534</v>
      </c>
      <c r="E35" s="1" t="s">
        <v>345</v>
      </c>
      <c r="F35" s="1" t="s">
        <v>533</v>
      </c>
    </row>
    <row r="36" spans="1:6" x14ac:dyDescent="0.35">
      <c r="A36" s="2" t="s">
        <v>233</v>
      </c>
      <c r="B36" s="2" t="s">
        <v>230</v>
      </c>
      <c r="C36" s="1" t="s">
        <v>14</v>
      </c>
      <c r="D36" s="1" t="s">
        <v>549</v>
      </c>
      <c r="E36" s="1" t="s">
        <v>550</v>
      </c>
      <c r="F36" s="1" t="s">
        <v>506</v>
      </c>
    </row>
    <row r="37" spans="1:6" x14ac:dyDescent="0.35">
      <c r="B37" s="2" t="s">
        <v>231</v>
      </c>
      <c r="C37" s="1" t="s">
        <v>546</v>
      </c>
      <c r="D37" s="1" t="s">
        <v>547</v>
      </c>
      <c r="E37" s="1" t="s">
        <v>14</v>
      </c>
      <c r="F37" s="1" t="s">
        <v>14</v>
      </c>
    </row>
    <row r="38" spans="1:6" x14ac:dyDescent="0.35">
      <c r="B38" s="2" t="s">
        <v>232</v>
      </c>
      <c r="C38" s="1" t="s">
        <v>548</v>
      </c>
      <c r="D38" s="1" t="s">
        <v>341</v>
      </c>
      <c r="E38" s="1" t="s">
        <v>14</v>
      </c>
      <c r="F38" s="1" t="s">
        <v>14</v>
      </c>
    </row>
    <row r="39" spans="1:6" ht="29" x14ac:dyDescent="0.35">
      <c r="A39" s="2" t="s">
        <v>241</v>
      </c>
      <c r="C39" s="1" t="s">
        <v>540</v>
      </c>
      <c r="D39" s="1" t="s">
        <v>541</v>
      </c>
      <c r="E39" s="1" t="s">
        <v>542</v>
      </c>
      <c r="F39" s="1" t="s">
        <v>543</v>
      </c>
    </row>
    <row r="40" spans="1:6" ht="29" x14ac:dyDescent="0.35">
      <c r="A40" s="2" t="s">
        <v>243</v>
      </c>
      <c r="C40" s="1" t="s">
        <v>536</v>
      </c>
      <c r="D40" s="1" t="s">
        <v>537</v>
      </c>
      <c r="E40" s="1" t="s">
        <v>538</v>
      </c>
      <c r="F40" s="1" t="s">
        <v>539</v>
      </c>
    </row>
    <row r="41" spans="1:6" x14ac:dyDescent="0.35">
      <c r="A41" s="1" t="s">
        <v>244</v>
      </c>
      <c r="B41" s="2" t="s">
        <v>245</v>
      </c>
      <c r="C41" s="1" t="s">
        <v>14</v>
      </c>
      <c r="D41" s="1" t="s">
        <v>14</v>
      </c>
      <c r="E41" s="1" t="s">
        <v>14</v>
      </c>
      <c r="F41" s="1" t="s">
        <v>14</v>
      </c>
    </row>
    <row r="42" spans="1:6" x14ac:dyDescent="0.35">
      <c r="A42" s="1"/>
      <c r="B42" s="2" t="s">
        <v>249</v>
      </c>
      <c r="C42" s="1" t="s">
        <v>14</v>
      </c>
      <c r="D42" s="1" t="s">
        <v>14</v>
      </c>
      <c r="E42" s="1" t="s">
        <v>14</v>
      </c>
      <c r="F42" s="1" t="s">
        <v>14</v>
      </c>
    </row>
    <row r="43" spans="1:6" x14ac:dyDescent="0.35">
      <c r="A43" s="1"/>
      <c r="B43" s="2" t="s">
        <v>246</v>
      </c>
      <c r="C43" s="1" t="s">
        <v>449</v>
      </c>
      <c r="D43" s="1" t="s">
        <v>450</v>
      </c>
      <c r="E43" s="1" t="s">
        <v>451</v>
      </c>
      <c r="F43" s="1" t="s">
        <v>452</v>
      </c>
    </row>
    <row r="44" spans="1:6" x14ac:dyDescent="0.35">
      <c r="A44" s="1"/>
      <c r="B44" s="2" t="s">
        <v>247</v>
      </c>
      <c r="C44" s="1" t="s">
        <v>453</v>
      </c>
      <c r="D44" s="1" t="s">
        <v>454</v>
      </c>
      <c r="E44" s="1" t="s">
        <v>455</v>
      </c>
      <c r="F44" s="1" t="s">
        <v>456</v>
      </c>
    </row>
    <row r="45" spans="1:6" x14ac:dyDescent="0.35">
      <c r="A45" s="1"/>
      <c r="B45" s="2" t="s">
        <v>248</v>
      </c>
      <c r="C45" s="1" t="s">
        <v>457</v>
      </c>
      <c r="D45" s="1" t="s">
        <v>417</v>
      </c>
      <c r="E45" s="1" t="s">
        <v>458</v>
      </c>
      <c r="F45" s="1" t="s">
        <v>459</v>
      </c>
    </row>
    <row r="46" spans="1:6" x14ac:dyDescent="0.35">
      <c r="A46" s="2" t="s">
        <v>240</v>
      </c>
      <c r="C46" s="1" t="s">
        <v>460</v>
      </c>
      <c r="D46" s="1" t="s">
        <v>461</v>
      </c>
      <c r="E46" s="1" t="s">
        <v>462</v>
      </c>
      <c r="F46" s="1" t="s">
        <v>32</v>
      </c>
    </row>
    <row r="47" spans="1:6" x14ac:dyDescent="0.35">
      <c r="A47" s="2" t="s">
        <v>210</v>
      </c>
      <c r="B47" s="2" t="s">
        <v>213</v>
      </c>
      <c r="C47" s="1" t="s">
        <v>520</v>
      </c>
      <c r="D47" s="1" t="s">
        <v>521</v>
      </c>
      <c r="E47" s="1" t="s">
        <v>522</v>
      </c>
      <c r="F47" s="1" t="s">
        <v>377</v>
      </c>
    </row>
    <row r="48" spans="1:6" x14ac:dyDescent="0.35">
      <c r="B48" s="2" t="s">
        <v>212</v>
      </c>
      <c r="C48" s="1" t="s">
        <v>523</v>
      </c>
      <c r="D48" s="1" t="s">
        <v>524</v>
      </c>
      <c r="E48" s="1" t="s">
        <v>525</v>
      </c>
      <c r="F48" s="1" t="s">
        <v>526</v>
      </c>
    </row>
    <row r="49" spans="1:6" x14ac:dyDescent="0.35">
      <c r="B49" s="2" t="s">
        <v>211</v>
      </c>
      <c r="C49" s="1" t="s">
        <v>527</v>
      </c>
      <c r="D49" s="1" t="s">
        <v>528</v>
      </c>
      <c r="E49" s="1" t="s">
        <v>529</v>
      </c>
      <c r="F49" s="1" t="s">
        <v>530</v>
      </c>
    </row>
    <row r="50" spans="1:6" x14ac:dyDescent="0.35">
      <c r="A50" s="1" t="s">
        <v>242</v>
      </c>
      <c r="B50" s="2" t="s">
        <v>583</v>
      </c>
      <c r="C50" s="1" t="s">
        <v>551</v>
      </c>
      <c r="D50" s="1" t="s">
        <v>341</v>
      </c>
      <c r="E50" s="1" t="s">
        <v>552</v>
      </c>
      <c r="F50" s="1" t="s">
        <v>553</v>
      </c>
    </row>
    <row r="51" spans="1:6" x14ac:dyDescent="0.35">
      <c r="A51" s="1"/>
      <c r="B51" s="2" t="s">
        <v>584</v>
      </c>
      <c r="C51" s="1" t="s">
        <v>554</v>
      </c>
      <c r="D51" s="1" t="s">
        <v>555</v>
      </c>
      <c r="E51" s="1" t="s">
        <v>556</v>
      </c>
      <c r="F51" s="1" t="s">
        <v>557</v>
      </c>
    </row>
    <row r="52" spans="1:6" x14ac:dyDescent="0.35">
      <c r="A52" s="1"/>
      <c r="B52" s="2" t="s">
        <v>585</v>
      </c>
      <c r="C52" s="1" t="s">
        <v>558</v>
      </c>
      <c r="D52" s="1" t="s">
        <v>421</v>
      </c>
      <c r="E52" s="1" t="s">
        <v>321</v>
      </c>
      <c r="F52" s="1" t="s">
        <v>526</v>
      </c>
    </row>
    <row r="53" spans="1:6" x14ac:dyDescent="0.35">
      <c r="A53" s="1"/>
      <c r="B53" s="2" t="s">
        <v>586</v>
      </c>
      <c r="C53" s="1" t="s">
        <v>559</v>
      </c>
      <c r="D53" s="1" t="s">
        <v>560</v>
      </c>
      <c r="E53" s="1" t="s">
        <v>561</v>
      </c>
      <c r="F53" s="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Descriptives</vt:lpstr>
      <vt:lpstr>Urban Rural Status Transitions</vt:lpstr>
      <vt:lpstr>Setting Transitions</vt:lpstr>
      <vt:lpstr>Specialty Transitions</vt:lpstr>
      <vt:lpstr>Descriptive Stats 09 by LC</vt:lpstr>
      <vt:lpstr>Descriptive Stats 19 by 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Annie Green</dc:creator>
  <cp:lastModifiedBy>Howard, Annie Green</cp:lastModifiedBy>
  <dcterms:created xsi:type="dcterms:W3CDTF">2026-04-16T06:28:42Z</dcterms:created>
  <dcterms:modified xsi:type="dcterms:W3CDTF">2026-04-16T07:28:34Z</dcterms:modified>
</cp:coreProperties>
</file>