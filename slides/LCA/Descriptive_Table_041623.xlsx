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ghoward_ad_unc_edu/Documents/UNC/LCA/"/>
    </mc:Choice>
  </mc:AlternateContent>
  <xr:revisionPtr revIDLastSave="252" documentId="8_{DAF8BB38-28E6-4207-B988-53D324F64BBB}" xr6:coauthVersionLast="47" xr6:coauthVersionMax="47" xr10:uidLastSave="{6C021E09-B39F-46D1-8B41-64F27D6F7CB4}"/>
  <bookViews>
    <workbookView xWindow="-110" yWindow="-110" windowWidth="19420" windowHeight="11500" firstSheet="1" activeTab="1" xr2:uid="{D64915B1-755C-4FF6-AD91-B5AEFD276ED4}"/>
  </bookViews>
  <sheets>
    <sheet name="Sample Descriptives" sheetId="2" r:id="rId1"/>
    <sheet name="Urban Rural Status Transitions" sheetId="1" r:id="rId2"/>
    <sheet name="Setting Transitions" sheetId="3" r:id="rId3"/>
    <sheet name="Specialty Transitions" sheetId="4" r:id="rId4"/>
  </sheets>
  <calcPr calcId="0"/>
</workbook>
</file>

<file path=xl/calcChain.xml><?xml version="1.0" encoding="utf-8"?>
<calcChain xmlns="http://schemas.openxmlformats.org/spreadsheetml/2006/main">
  <c r="J27" i="2" l="1"/>
</calcChain>
</file>

<file path=xl/sharedStrings.xml><?xml version="1.0" encoding="utf-8"?>
<sst xmlns="http://schemas.openxmlformats.org/spreadsheetml/2006/main" count="312" uniqueCount="280">
  <si>
    <t>Urban in 2019</t>
  </si>
  <si>
    <t>Large Rural in 2019</t>
  </si>
  <si>
    <t>Small Rural in 2019</t>
  </si>
  <si>
    <t>Missing in 2019</t>
  </si>
  <si>
    <t>2009 Total</t>
  </si>
  <si>
    <t>Urban in 2009</t>
  </si>
  <si>
    <t>Large Rural in 2009</t>
  </si>
  <si>
    <t>Small Rural in 2009</t>
  </si>
  <si>
    <t>Missing  in 2009</t>
  </si>
  <si>
    <t>2019 Total</t>
  </si>
  <si>
    <t>Variable</t>
  </si>
  <si>
    <t>8% (N = 318)</t>
  </si>
  <si>
    <t>22% (N = 735)</t>
  </si>
  <si>
    <t>6% (N = 268)</t>
  </si>
  <si>
    <t>0% (N = 0)</t>
  </si>
  <si>
    <t>26% (N = 1075)</t>
  </si>
  <si>
    <t>27% (N = 908)</t>
  </si>
  <si>
    <t>39% (N = 1808)</t>
  </si>
  <si>
    <t>21% (N = 971)</t>
  </si>
  <si>
    <t>24% (N = 980)</t>
  </si>
  <si>
    <t>11% (N = 376)</t>
  </si>
  <si>
    <t>28% (N = 1283)</t>
  </si>
  <si>
    <t>25% (N = 1008)</t>
  </si>
  <si>
    <t>10% (N = 324)</t>
  </si>
  <si>
    <t>12% (N = 553)</t>
  </si>
  <si>
    <t>40% (N = 1836)</t>
  </si>
  <si>
    <t>17% (N = 688)</t>
  </si>
  <si>
    <t>29% (N = 967)</t>
  </si>
  <si>
    <t>15% (N = 703)</t>
  </si>
  <si>
    <t>4.8 (3)</t>
  </si>
  <si>
    <t>4.4 (3)</t>
  </si>
  <si>
    <t>4.6 (3)</t>
  </si>
  <si>
    <t>4.5 (3)</t>
  </si>
  <si>
    <t>47.9 (12.3)</t>
  </si>
  <si>
    <t>40.8 (10.9)</t>
  </si>
  <si>
    <t>45.3 (9.2)</t>
  </si>
  <si>
    <t>55.3 (9.2)</t>
  </si>
  <si>
    <t>19% (N = 792)</t>
  </si>
  <si>
    <t>39% (N = 1302)</t>
  </si>
  <si>
    <t>15% (N = 697)</t>
  </si>
  <si>
    <t>27% (N = 1108)</t>
  </si>
  <si>
    <t>36% (N = 1198)</t>
  </si>
  <si>
    <t>39% (N = 1796)</t>
  </si>
  <si>
    <t>24% (N = 981)</t>
  </si>
  <si>
    <t>13% (N = 415)</t>
  </si>
  <si>
    <t>32% (N = 1462)</t>
  </si>
  <si>
    <t>21% (N = 866)</t>
  </si>
  <si>
    <t>8% (N = 254)</t>
  </si>
  <si>
    <t>12% (N = 575)</t>
  </si>
  <si>
    <t>8% (N = 338)</t>
  </si>
  <si>
    <t>4% (N = 143)</t>
  </si>
  <si>
    <t>2% (N = 87)</t>
  </si>
  <si>
    <t>14% (N = 662)</t>
  </si>
  <si>
    <t>1% (N = 26)</t>
  </si>
  <si>
    <t>0% (N = 14)</t>
  </si>
  <si>
    <t>1% (N = 34)</t>
  </si>
  <si>
    <t>11% (N = 432)</t>
  </si>
  <si>
    <t>12% (N = 408)</t>
  </si>
  <si>
    <t>9% (N = 427)</t>
  </si>
  <si>
    <t>10% (N = 404)</t>
  </si>
  <si>
    <t>11% (N = 378)</t>
  </si>
  <si>
    <t>11% (N = 521)</t>
  </si>
  <si>
    <t>0% (N = 10)</t>
  </si>
  <si>
    <t>0% (N = 12)</t>
  </si>
  <si>
    <t>35% (N = 1448)</t>
  </si>
  <si>
    <t>60% (N = 1984)</t>
  </si>
  <si>
    <t>43% (N = 1985)</t>
  </si>
  <si>
    <t>3% (N = 140)</t>
  </si>
  <si>
    <t>1% (N = 42)</t>
  </si>
  <si>
    <t>0% (N = 8)</t>
  </si>
  <si>
    <t>27% (N = 1268)</t>
  </si>
  <si>
    <t>22% (N = 916)</t>
  </si>
  <si>
    <t>4% (N = 127)</t>
  </si>
  <si>
    <t>17% (N = 784)</t>
  </si>
  <si>
    <t>23% (N = 947)</t>
  </si>
  <si>
    <t>8% (N = 276)</t>
  </si>
  <si>
    <t>33% (N = 1514)</t>
  </si>
  <si>
    <t>13% (N = 513)</t>
  </si>
  <si>
    <t>2% (N = 50)</t>
  </si>
  <si>
    <t>3% (N = 152)</t>
  </si>
  <si>
    <t>42% (N = 1701)</t>
  </si>
  <si>
    <t>35% (N = 1174)</t>
  </si>
  <si>
    <t>47% (N = 2166)</t>
  </si>
  <si>
    <t>51% (N = 1685)</t>
  </si>
  <si>
    <t>0% (N = 1)</t>
  </si>
  <si>
    <t>27% (N = 1115)</t>
  </si>
  <si>
    <t>35% (N = 1169)</t>
  </si>
  <si>
    <t>37% (N = 1714)</t>
  </si>
  <si>
    <t>36% (N = 1658)</t>
  </si>
  <si>
    <t>3% (N = 98)</t>
  </si>
  <si>
    <t>1% (N = 30)</t>
  </si>
  <si>
    <t>44% (N = 1803)</t>
  </si>
  <si>
    <t>27% (N = 889)</t>
  </si>
  <si>
    <t>25% (N = 1173)</t>
  </si>
  <si>
    <t>11% (N = 457)</t>
  </si>
  <si>
    <t>15% (N = 496)</t>
  </si>
  <si>
    <t>15% (N = 670)</t>
  </si>
  <si>
    <t>14% (N = 665)</t>
  </si>
  <si>
    <t>17% (N = 698)</t>
  </si>
  <si>
    <t>20% (N = 660)</t>
  </si>
  <si>
    <t>20% (N = 932)</t>
  </si>
  <si>
    <t>21% (N = 969)</t>
  </si>
  <si>
    <t>5% (N = 157)</t>
  </si>
  <si>
    <t>4% (N = 164)</t>
  </si>
  <si>
    <t>5% (N = 217)</t>
  </si>
  <si>
    <t>5% (N = 158)</t>
  </si>
  <si>
    <t>5% (N = 243)</t>
  </si>
  <si>
    <t>5% (N = 233)</t>
  </si>
  <si>
    <t>3% (N = 110)</t>
  </si>
  <si>
    <t>3% (N = 156)</t>
  </si>
  <si>
    <t>4% (N = 167)</t>
  </si>
  <si>
    <t>91% (N = 3728)</t>
  </si>
  <si>
    <t>92% (N = 3034)</t>
  </si>
  <si>
    <t>91% (N = 4218)</t>
  </si>
  <si>
    <t>91% (N = 4217)</t>
  </si>
  <si>
    <t>1% (N = 46)</t>
  </si>
  <si>
    <t>7% (N = 276)</t>
  </si>
  <si>
    <t>16% (N = 474)</t>
  </si>
  <si>
    <t>13% (N = 592)</t>
  </si>
  <si>
    <t>10% (N = 477)</t>
  </si>
  <si>
    <t>4% (N = 152)</t>
  </si>
  <si>
    <t>3% (N = 102)</t>
  </si>
  <si>
    <t>2% (N = 105)</t>
  </si>
  <si>
    <t>39.3 (16.6)</t>
  </si>
  <si>
    <t>38.1 (15.4)</t>
  </si>
  <si>
    <t>41.9 (13.9)</t>
  </si>
  <si>
    <t>38.5 (15.4)</t>
  </si>
  <si>
    <t>21.3 (12.4)</t>
  </si>
  <si>
    <t>13.7 (10.8)</t>
  </si>
  <si>
    <t>18.8 (9.3)</t>
  </si>
  <si>
    <t>28.8 (9.3)</t>
  </si>
  <si>
    <t>10% (N = 380)</t>
  </si>
  <si>
    <t>19% (N = 577)</t>
  </si>
  <si>
    <t>16% (N = 730)</t>
  </si>
  <si>
    <t>13% (N = 590)</t>
  </si>
  <si>
    <t>1% (N = 28)</t>
  </si>
  <si>
    <t>8% (N = 257)</t>
  </si>
  <si>
    <t>14% (N = 561)</t>
  </si>
  <si>
    <t>11% (N = 348)</t>
  </si>
  <si>
    <t>14% (N = 641)</t>
  </si>
  <si>
    <t>13% (N = 596)</t>
  </si>
  <si>
    <t>6% (N = 245)</t>
  </si>
  <si>
    <t>4% (N = 130)</t>
  </si>
  <si>
    <t>5% (N = 253)</t>
  </si>
  <si>
    <t>5% (N = 237)</t>
  </si>
  <si>
    <t>80% (N = 3279)</t>
  </si>
  <si>
    <t>86% (N = 2824)</t>
  </si>
  <si>
    <t>81% (N = 3723)</t>
  </si>
  <si>
    <t>82% (N = 3783)</t>
  </si>
  <si>
    <t>school_img</t>
  </si>
  <si>
    <t>20% (N = 797)</t>
  </si>
  <si>
    <t>17% (N = 568)</t>
  </si>
  <si>
    <t>14% (N = 658)</t>
  </si>
  <si>
    <t>14% (N = 646)</t>
  </si>
  <si>
    <t>school_in_state</t>
  </si>
  <si>
    <t>24% (N = 956)</t>
  </si>
  <si>
    <t>21% (N = 694)</t>
  </si>
  <si>
    <t>33% (N = 1504)</t>
  </si>
  <si>
    <t>33% (N = 1501)</t>
  </si>
  <si>
    <t>school_out_hbcu</t>
  </si>
  <si>
    <t>1% (N = 60)</t>
  </si>
  <si>
    <t>2% (N = 52)</t>
  </si>
  <si>
    <t>2% (N = 70)</t>
  </si>
  <si>
    <t>school_out_nonhbcu</t>
  </si>
  <si>
    <t>55% (N = 2224)</t>
  </si>
  <si>
    <t>60% (N = 1995)</t>
  </si>
  <si>
    <t>52% (N = 2385)</t>
  </si>
  <si>
    <t>52% (N = 2400)</t>
  </si>
  <si>
    <t>38% (N = 1569)</t>
  </si>
  <si>
    <t>44% (N = 1462)</t>
  </si>
  <si>
    <t>66% (N = 3037)</t>
  </si>
  <si>
    <t>62% (N = 2844)</t>
  </si>
  <si>
    <t>31% (N = 1261)</t>
  </si>
  <si>
    <t>28% (N = 941)</t>
  </si>
  <si>
    <t>11% (N = 489)</t>
  </si>
  <si>
    <t>11% (N = 502)</t>
  </si>
  <si>
    <t>12% (N = 474)</t>
  </si>
  <si>
    <t>4% (N = 174)</t>
  </si>
  <si>
    <t>3% (N = 138)</t>
  </si>
  <si>
    <t>8% (N = 313)</t>
  </si>
  <si>
    <t>12% (N = 383)</t>
  </si>
  <si>
    <t>4% (N = 190)</t>
  </si>
  <si>
    <t>2% (N = 77)</t>
  </si>
  <si>
    <t>2% (N = 80)</t>
  </si>
  <si>
    <t>9% (N = 296)</t>
  </si>
  <si>
    <t>1% (N = 33)</t>
  </si>
  <si>
    <t>8% (N = 382)</t>
  </si>
  <si>
    <t>9% (N = 358)</t>
  </si>
  <si>
    <t>2% (N = 82)</t>
  </si>
  <si>
    <t>13% (N = 605)</t>
  </si>
  <si>
    <t>10% (N = 484)</t>
  </si>
  <si>
    <t>71% (N = 2903)</t>
  </si>
  <si>
    <t>60% (N = 1996)</t>
  </si>
  <si>
    <t>73% (N = 3356)</t>
  </si>
  <si>
    <t>Both years in 2009 and 2019 (N = 4,617)</t>
  </si>
  <si>
    <t>2009 Descriptive Statistics</t>
  </si>
  <si>
    <t>2019 only (N = 3,312)</t>
  </si>
  <si>
    <t>2019 Descriptive Statistics</t>
  </si>
  <si>
    <t>Age - Mean (std)</t>
  </si>
  <si>
    <t>Age</t>
  </si>
  <si>
    <t>36 to 45</t>
  </si>
  <si>
    <t xml:space="preserve">46 to 55 </t>
  </si>
  <si>
    <t>56 to 65</t>
  </si>
  <si>
    <t xml:space="preserve">66 + </t>
  </si>
  <si>
    <t>35 and below</t>
  </si>
  <si>
    <t>2009 only              (N = 4,085)</t>
  </si>
  <si>
    <t>% Female</t>
  </si>
  <si>
    <t>Racial/ethnic identity</t>
  </si>
  <si>
    <t>Non-Hispanic White</t>
  </si>
  <si>
    <t>Non-Hispanic Black</t>
  </si>
  <si>
    <t>American Indian/Alaskan Native</t>
  </si>
  <si>
    <t>Asian/Pacific Islander</t>
  </si>
  <si>
    <t>Hispanic</t>
  </si>
  <si>
    <t>Other</t>
  </si>
  <si>
    <t>Unknown</t>
  </si>
  <si>
    <t>HPSA</t>
  </si>
  <si>
    <t>Part HPSA</t>
  </si>
  <si>
    <t>Not HPSA</t>
  </si>
  <si>
    <t>Full HSPA</t>
  </si>
  <si>
    <t>Specialty</t>
  </si>
  <si>
    <t>General pediatrics</t>
  </si>
  <si>
    <t>General obstetrics and gynecology</t>
  </si>
  <si>
    <t>General internal medicine</t>
  </si>
  <si>
    <t>Geriatrics</t>
  </si>
  <si>
    <t>Family Medicine</t>
  </si>
  <si>
    <t>Employment Setting</t>
  </si>
  <si>
    <t>Ambulatory care</t>
  </si>
  <si>
    <t>Hospital</t>
  </si>
  <si>
    <t xml:space="preserve">Medical school/parent university </t>
  </si>
  <si>
    <t>Missing</t>
  </si>
  <si>
    <t>Nursing home/extended care</t>
  </si>
  <si>
    <t>Solo practitioner</t>
  </si>
  <si>
    <t>Providing routine obstetric
deliveries</t>
  </si>
  <si>
    <t>Providing routine prenatal care</t>
  </si>
  <si>
    <t>Practice characteristics</t>
  </si>
  <si>
    <t>Urban</t>
  </si>
  <si>
    <t>Large rural</t>
  </si>
  <si>
    <t>Small rural</t>
  </si>
  <si>
    <t>Urban/rural status</t>
  </si>
  <si>
    <t>Generational Cohort</t>
  </si>
  <si>
    <t>Gen Y (1981-2000)</t>
  </si>
  <si>
    <t>Gen X (1965-1980)</t>
  </si>
  <si>
    <t>WWII (1928-1945)</t>
  </si>
  <si>
    <t>Baby boomer, trailing edge (1955-1964)</t>
  </si>
  <si>
    <t>Baby boomer, leading edge (1946-1954)</t>
  </si>
  <si>
    <t>ADI - State</t>
  </si>
  <si>
    <t>Average years of practice (STD)</t>
  </si>
  <si>
    <t>Medical school</t>
  </si>
  <si>
    <t>Avg patient-care hours per week</t>
  </si>
  <si>
    <t>Years Since Medical School</t>
  </si>
  <si>
    <t>0 to 5</t>
  </si>
  <si>
    <t>11 to 20</t>
  </si>
  <si>
    <t>21 to 30</t>
  </si>
  <si>
    <t xml:space="preserve">31 + </t>
  </si>
  <si>
    <t>6 to 10</t>
  </si>
  <si>
    <t xml:space="preserve">Ambulatory Care in 2009 </t>
  </si>
  <si>
    <t xml:space="preserve">Hospital in 2009 </t>
  </si>
  <si>
    <t xml:space="preserve">Medical School in 2009 </t>
  </si>
  <si>
    <t xml:space="preserve">Nursing Home in 2009 </t>
  </si>
  <si>
    <t xml:space="preserve">Solo Practitioner in 2009 </t>
  </si>
  <si>
    <t xml:space="preserve">Other in 2009 </t>
  </si>
  <si>
    <t xml:space="preserve">Missing in 2009 </t>
  </si>
  <si>
    <t>Ambulatory Care  in 2019</t>
  </si>
  <si>
    <t>Hospital  in 2019</t>
  </si>
  <si>
    <t>Medical School  in 2019</t>
  </si>
  <si>
    <t>Nursing Home  in 2019</t>
  </si>
  <si>
    <t>Solo Practitioner  in 2019</t>
  </si>
  <si>
    <t>Other  in 2019</t>
  </si>
  <si>
    <t>Missing  in 2019</t>
  </si>
  <si>
    <t>Family Medicine in 2009</t>
  </si>
  <si>
    <t>General Internal Medicine in 2009</t>
  </si>
  <si>
    <t>General Obstetrics and Gynecology in 2009</t>
  </si>
  <si>
    <t>General Pediatrics in 2009</t>
  </si>
  <si>
    <t>Geriatrics in 2009</t>
  </si>
  <si>
    <t>Missing in 2009</t>
  </si>
  <si>
    <t>Family Medicine in 2019</t>
  </si>
  <si>
    <t>General Internal Medicine in 2019</t>
  </si>
  <si>
    <t>General Obstetrics and Gynecology in 2019</t>
  </si>
  <si>
    <t>General Pediatrics in 2019</t>
  </si>
  <si>
    <t>Geriatrics in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</si>
</sst>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D5F3-C160-466F-BAF5-810695E1A441}">
  <dimension ref="A1:J53"/>
  <sheetViews>
    <sheetView topLeftCell="A17" workbookViewId="0">
      <selection activeCell="B27" sqref="B27"/>
    </sheetView>
  </sheetViews>
  <sheetFormatPr defaultRowHeight="14.5" x14ac:dyDescent="0.35"/>
  <cols>
    <col min="1" max="1" width="20.36328125" style="3" customWidth="1"/>
    <col min="2" max="2" width="18.08984375" style="3" customWidth="1"/>
    <col min="3" max="3" width="14.1796875" style="1" customWidth="1"/>
    <col min="4" max="4" width="13.7265625" style="1" customWidth="1"/>
    <col min="5" max="5" width="13.54296875" style="1" customWidth="1"/>
    <col min="6" max="6" width="9.81640625" style="1" customWidth="1"/>
    <col min="7" max="16384" width="8.7265625" style="1"/>
  </cols>
  <sheetData>
    <row r="1" spans="1:6" x14ac:dyDescent="0.35">
      <c r="C1" s="2" t="s">
        <v>195</v>
      </c>
      <c r="D1" s="2"/>
      <c r="E1" s="2" t="s">
        <v>197</v>
      </c>
      <c r="F1" s="2"/>
    </row>
    <row r="2" spans="1:6" s="3" customFormat="1" ht="43.5" x14ac:dyDescent="0.35">
      <c r="A2" s="3" t="s">
        <v>10</v>
      </c>
      <c r="C2" s="3" t="s">
        <v>205</v>
      </c>
      <c r="D2" s="3" t="s">
        <v>194</v>
      </c>
      <c r="E2" s="3" t="s">
        <v>194</v>
      </c>
      <c r="F2" s="3" t="s">
        <v>196</v>
      </c>
    </row>
    <row r="3" spans="1:6" x14ac:dyDescent="0.35">
      <c r="A3" s="3" t="s">
        <v>198</v>
      </c>
      <c r="C3" s="1" t="s">
        <v>33</v>
      </c>
      <c r="D3" s="1" t="s">
        <v>35</v>
      </c>
      <c r="E3" s="1" t="s">
        <v>34</v>
      </c>
      <c r="F3" s="1" t="s">
        <v>36</v>
      </c>
    </row>
    <row r="4" spans="1:6" ht="14" customHeight="1" x14ac:dyDescent="0.35">
      <c r="A4" s="3" t="s">
        <v>199</v>
      </c>
      <c r="B4" s="3" t="s">
        <v>204</v>
      </c>
      <c r="C4" s="1" t="s">
        <v>37</v>
      </c>
      <c r="D4" s="1" t="s">
        <v>39</v>
      </c>
      <c r="E4" s="1" t="s">
        <v>38</v>
      </c>
      <c r="F4" s="1" t="s">
        <v>14</v>
      </c>
    </row>
    <row r="5" spans="1:6" x14ac:dyDescent="0.35">
      <c r="B5" s="3" t="s">
        <v>200</v>
      </c>
      <c r="C5" s="1" t="s">
        <v>40</v>
      </c>
      <c r="D5" s="1" t="s">
        <v>42</v>
      </c>
      <c r="E5" s="1" t="s">
        <v>41</v>
      </c>
      <c r="F5" s="1" t="s">
        <v>39</v>
      </c>
    </row>
    <row r="6" spans="1:6" x14ac:dyDescent="0.35">
      <c r="B6" s="3" t="s">
        <v>201</v>
      </c>
      <c r="C6" s="1" t="s">
        <v>43</v>
      </c>
      <c r="D6" s="1" t="s">
        <v>45</v>
      </c>
      <c r="E6" s="1" t="s">
        <v>44</v>
      </c>
      <c r="F6" s="1" t="s">
        <v>42</v>
      </c>
    </row>
    <row r="7" spans="1:6" x14ac:dyDescent="0.35">
      <c r="B7" s="3" t="s">
        <v>202</v>
      </c>
      <c r="C7" s="1" t="s">
        <v>46</v>
      </c>
      <c r="D7" s="1" t="s">
        <v>48</v>
      </c>
      <c r="E7" s="1" t="s">
        <v>47</v>
      </c>
      <c r="F7" s="1" t="s">
        <v>45</v>
      </c>
    </row>
    <row r="8" spans="1:6" x14ac:dyDescent="0.35">
      <c r="B8" s="3" t="s">
        <v>203</v>
      </c>
      <c r="C8" s="1" t="s">
        <v>49</v>
      </c>
      <c r="D8" s="1" t="s">
        <v>51</v>
      </c>
      <c r="E8" s="1" t="s">
        <v>50</v>
      </c>
      <c r="F8" s="1" t="s">
        <v>52</v>
      </c>
    </row>
    <row r="9" spans="1:6" ht="14" customHeight="1" x14ac:dyDescent="0.35">
      <c r="A9" s="3" t="s">
        <v>206</v>
      </c>
      <c r="C9" s="1" t="s">
        <v>64</v>
      </c>
      <c r="D9" s="1" t="s">
        <v>66</v>
      </c>
      <c r="E9" s="1" t="s">
        <v>65</v>
      </c>
      <c r="F9" s="1" t="s">
        <v>66</v>
      </c>
    </row>
    <row r="10" spans="1:6" x14ac:dyDescent="0.35">
      <c r="A10" s="3" t="s">
        <v>207</v>
      </c>
      <c r="B10" s="3" t="s">
        <v>208</v>
      </c>
      <c r="C10" s="1" t="s">
        <v>191</v>
      </c>
      <c r="D10" s="1" t="s">
        <v>193</v>
      </c>
      <c r="E10" s="1" t="s">
        <v>192</v>
      </c>
      <c r="F10" s="1" t="s">
        <v>193</v>
      </c>
    </row>
    <row r="11" spans="1:6" x14ac:dyDescent="0.35">
      <c r="B11" s="3" t="s">
        <v>209</v>
      </c>
      <c r="C11" s="1" t="s">
        <v>59</v>
      </c>
      <c r="D11" s="1" t="s">
        <v>61</v>
      </c>
      <c r="E11" s="1" t="s">
        <v>60</v>
      </c>
      <c r="F11" s="1" t="s">
        <v>61</v>
      </c>
    </row>
    <row r="12" spans="1:6" ht="43.5" x14ac:dyDescent="0.35">
      <c r="B12" s="3" t="s">
        <v>210</v>
      </c>
      <c r="C12" s="1" t="s">
        <v>53</v>
      </c>
      <c r="D12" s="1" t="s">
        <v>55</v>
      </c>
      <c r="E12" s="1" t="s">
        <v>54</v>
      </c>
      <c r="F12" s="1" t="s">
        <v>55</v>
      </c>
    </row>
    <row r="13" spans="1:6" ht="29" x14ac:dyDescent="0.35">
      <c r="B13" s="3" t="s">
        <v>211</v>
      </c>
      <c r="C13" s="1" t="s">
        <v>56</v>
      </c>
      <c r="D13" s="1" t="s">
        <v>58</v>
      </c>
      <c r="E13" s="1" t="s">
        <v>57</v>
      </c>
      <c r="F13" s="1" t="s">
        <v>58</v>
      </c>
    </row>
    <row r="14" spans="1:6" x14ac:dyDescent="0.35">
      <c r="B14" s="3" t="s">
        <v>212</v>
      </c>
      <c r="C14" s="1" t="s">
        <v>67</v>
      </c>
      <c r="D14" s="1" t="s">
        <v>103</v>
      </c>
      <c r="E14" s="1" t="s">
        <v>102</v>
      </c>
      <c r="F14" s="1" t="s">
        <v>103</v>
      </c>
    </row>
    <row r="15" spans="1:6" x14ac:dyDescent="0.35">
      <c r="B15" s="3" t="s">
        <v>213</v>
      </c>
      <c r="C15" s="1" t="s">
        <v>120</v>
      </c>
      <c r="D15" s="1" t="s">
        <v>122</v>
      </c>
      <c r="E15" s="1" t="s">
        <v>121</v>
      </c>
      <c r="F15" s="1" t="s">
        <v>122</v>
      </c>
    </row>
    <row r="16" spans="1:6" x14ac:dyDescent="0.35">
      <c r="B16" s="3" t="s">
        <v>214</v>
      </c>
      <c r="C16" s="1" t="s">
        <v>135</v>
      </c>
      <c r="D16" s="1" t="s">
        <v>62</v>
      </c>
      <c r="E16" s="1" t="s">
        <v>136</v>
      </c>
      <c r="F16" s="1" t="s">
        <v>62</v>
      </c>
    </row>
    <row r="17" spans="1:10" x14ac:dyDescent="0.35">
      <c r="A17" s="3" t="s">
        <v>239</v>
      </c>
      <c r="B17" s="3" t="s">
        <v>242</v>
      </c>
      <c r="C17" s="1" t="s">
        <v>77</v>
      </c>
      <c r="D17" s="1" t="s">
        <v>79</v>
      </c>
      <c r="E17" s="1" t="s">
        <v>78</v>
      </c>
      <c r="F17" s="1" t="s">
        <v>79</v>
      </c>
    </row>
    <row r="18" spans="1:10" ht="43.5" x14ac:dyDescent="0.35">
      <c r="B18" s="3" t="s">
        <v>244</v>
      </c>
      <c r="C18" s="1" t="s">
        <v>71</v>
      </c>
      <c r="D18" s="1" t="s">
        <v>73</v>
      </c>
      <c r="E18" s="1" t="s">
        <v>72</v>
      </c>
      <c r="F18" s="1" t="s">
        <v>73</v>
      </c>
    </row>
    <row r="19" spans="1:10" ht="29" x14ac:dyDescent="0.35">
      <c r="B19" s="3" t="s">
        <v>243</v>
      </c>
      <c r="C19" s="1" t="s">
        <v>74</v>
      </c>
      <c r="D19" s="1" t="s">
        <v>76</v>
      </c>
      <c r="E19" s="1" t="s">
        <v>75</v>
      </c>
      <c r="F19" s="1" t="s">
        <v>76</v>
      </c>
    </row>
    <row r="20" spans="1:10" x14ac:dyDescent="0.35">
      <c r="B20" s="3" t="s">
        <v>241</v>
      </c>
      <c r="C20" s="1" t="s">
        <v>80</v>
      </c>
      <c r="D20" s="1" t="s">
        <v>82</v>
      </c>
      <c r="E20" s="1" t="s">
        <v>81</v>
      </c>
      <c r="F20" s="1" t="s">
        <v>82</v>
      </c>
    </row>
    <row r="21" spans="1:10" x14ac:dyDescent="0.35">
      <c r="B21" s="3" t="s">
        <v>240</v>
      </c>
      <c r="C21" s="1" t="s">
        <v>69</v>
      </c>
      <c r="D21" s="1" t="s">
        <v>84</v>
      </c>
      <c r="E21" s="1" t="s">
        <v>83</v>
      </c>
      <c r="F21" s="1" t="s">
        <v>84</v>
      </c>
    </row>
    <row r="22" spans="1:10" x14ac:dyDescent="0.35">
      <c r="A22" s="3" t="s">
        <v>219</v>
      </c>
      <c r="B22" s="3" t="s">
        <v>224</v>
      </c>
      <c r="C22" s="1" t="s">
        <v>85</v>
      </c>
      <c r="D22" s="1" t="s">
        <v>87</v>
      </c>
      <c r="E22" s="1" t="s">
        <v>86</v>
      </c>
      <c r="F22" s="1" t="s">
        <v>88</v>
      </c>
    </row>
    <row r="23" spans="1:10" x14ac:dyDescent="0.35">
      <c r="B23" s="3" t="s">
        <v>223</v>
      </c>
      <c r="C23" s="1" t="s">
        <v>63</v>
      </c>
      <c r="D23" s="1" t="s">
        <v>90</v>
      </c>
      <c r="E23" s="1" t="s">
        <v>89</v>
      </c>
      <c r="F23" s="1" t="s">
        <v>79</v>
      </c>
    </row>
    <row r="24" spans="1:10" ht="29" x14ac:dyDescent="0.35">
      <c r="B24" s="3" t="s">
        <v>222</v>
      </c>
      <c r="C24" s="1" t="s">
        <v>91</v>
      </c>
      <c r="D24" s="1" t="s">
        <v>70</v>
      </c>
      <c r="E24" s="1" t="s">
        <v>92</v>
      </c>
      <c r="F24" s="1" t="s">
        <v>93</v>
      </c>
    </row>
    <row r="25" spans="1:10" ht="29" x14ac:dyDescent="0.35">
      <c r="B25" s="3" t="s">
        <v>221</v>
      </c>
      <c r="C25" s="1" t="s">
        <v>94</v>
      </c>
      <c r="D25" s="1" t="s">
        <v>96</v>
      </c>
      <c r="E25" s="1" t="s">
        <v>95</v>
      </c>
      <c r="F25" s="1" t="s">
        <v>97</v>
      </c>
    </row>
    <row r="26" spans="1:10" x14ac:dyDescent="0.35">
      <c r="B26" s="3" t="s">
        <v>220</v>
      </c>
      <c r="C26" s="1" t="s">
        <v>98</v>
      </c>
      <c r="D26" s="1" t="s">
        <v>100</v>
      </c>
      <c r="E26" s="1" t="s">
        <v>99</v>
      </c>
      <c r="F26" s="1" t="s">
        <v>101</v>
      </c>
    </row>
    <row r="27" spans="1:10" x14ac:dyDescent="0.35">
      <c r="A27" s="3" t="s">
        <v>225</v>
      </c>
      <c r="B27" s="3" t="s">
        <v>226</v>
      </c>
      <c r="C27" s="1" t="s">
        <v>168</v>
      </c>
      <c r="D27" s="1" t="s">
        <v>170</v>
      </c>
      <c r="E27" s="1" t="s">
        <v>169</v>
      </c>
      <c r="F27" s="1" t="s">
        <v>171</v>
      </c>
      <c r="J27" s="1">
        <f>3037+1569</f>
        <v>4606</v>
      </c>
    </row>
    <row r="28" spans="1:10" x14ac:dyDescent="0.35">
      <c r="B28" s="3" t="s">
        <v>227</v>
      </c>
      <c r="C28" s="1" t="s">
        <v>172</v>
      </c>
      <c r="D28" s="1" t="s">
        <v>174</v>
      </c>
      <c r="E28" s="1" t="s">
        <v>173</v>
      </c>
      <c r="F28" s="1" t="s">
        <v>175</v>
      </c>
    </row>
    <row r="29" spans="1:10" ht="43.5" x14ac:dyDescent="0.35">
      <c r="B29" s="3" t="s">
        <v>228</v>
      </c>
      <c r="C29" s="1" t="s">
        <v>176</v>
      </c>
      <c r="D29" s="1" t="s">
        <v>177</v>
      </c>
      <c r="E29" s="1" t="s">
        <v>121</v>
      </c>
      <c r="F29" s="1" t="s">
        <v>178</v>
      </c>
    </row>
    <row r="30" spans="1:10" ht="29" x14ac:dyDescent="0.35">
      <c r="B30" s="3" t="s">
        <v>230</v>
      </c>
      <c r="C30" s="1" t="s">
        <v>90</v>
      </c>
      <c r="D30" s="1" t="s">
        <v>68</v>
      </c>
      <c r="E30" s="1" t="s">
        <v>115</v>
      </c>
      <c r="F30" s="1" t="s">
        <v>182</v>
      </c>
    </row>
    <row r="31" spans="1:10" x14ac:dyDescent="0.35">
      <c r="B31" s="3" t="s">
        <v>213</v>
      </c>
      <c r="C31" s="1" t="s">
        <v>183</v>
      </c>
      <c r="D31" s="1" t="s">
        <v>185</v>
      </c>
      <c r="E31" s="1" t="s">
        <v>184</v>
      </c>
      <c r="F31" s="1" t="s">
        <v>186</v>
      </c>
    </row>
    <row r="32" spans="1:10" x14ac:dyDescent="0.35">
      <c r="B32" s="3" t="s">
        <v>231</v>
      </c>
      <c r="C32" s="1" t="s">
        <v>187</v>
      </c>
      <c r="D32" s="1" t="s">
        <v>189</v>
      </c>
      <c r="E32" s="1" t="s">
        <v>188</v>
      </c>
      <c r="F32" s="1" t="s">
        <v>190</v>
      </c>
    </row>
    <row r="33" spans="1:6" x14ac:dyDescent="0.35">
      <c r="B33" s="3" t="s">
        <v>229</v>
      </c>
      <c r="C33" s="1" t="s">
        <v>179</v>
      </c>
      <c r="D33" s="1" t="s">
        <v>144</v>
      </c>
      <c r="E33" s="1" t="s">
        <v>180</v>
      </c>
      <c r="F33" s="1" t="s">
        <v>181</v>
      </c>
    </row>
    <row r="34" spans="1:6" ht="29" x14ac:dyDescent="0.35">
      <c r="A34" s="3" t="s">
        <v>234</v>
      </c>
      <c r="B34" s="3" t="s">
        <v>233</v>
      </c>
      <c r="C34" s="1" t="s">
        <v>131</v>
      </c>
      <c r="D34" s="1" t="s">
        <v>133</v>
      </c>
      <c r="E34" s="1" t="s">
        <v>132</v>
      </c>
      <c r="F34" s="1" t="s">
        <v>134</v>
      </c>
    </row>
    <row r="35" spans="1:6" ht="43.5" x14ac:dyDescent="0.35">
      <c r="B35" s="3" t="s">
        <v>232</v>
      </c>
      <c r="C35" s="1" t="s">
        <v>116</v>
      </c>
      <c r="D35" s="1" t="s">
        <v>118</v>
      </c>
      <c r="E35" s="1" t="s">
        <v>117</v>
      </c>
      <c r="F35" s="1" t="s">
        <v>119</v>
      </c>
    </row>
    <row r="36" spans="1:6" x14ac:dyDescent="0.35">
      <c r="A36" s="3" t="s">
        <v>238</v>
      </c>
      <c r="B36" s="3" t="s">
        <v>235</v>
      </c>
      <c r="C36" s="1" t="s">
        <v>145</v>
      </c>
      <c r="D36" s="1" t="s">
        <v>147</v>
      </c>
      <c r="E36" s="1" t="s">
        <v>146</v>
      </c>
      <c r="F36" s="1" t="s">
        <v>148</v>
      </c>
    </row>
    <row r="37" spans="1:6" x14ac:dyDescent="0.35">
      <c r="B37" s="3" t="s">
        <v>236</v>
      </c>
      <c r="C37" s="1" t="s">
        <v>137</v>
      </c>
      <c r="D37" s="1" t="s">
        <v>139</v>
      </c>
      <c r="E37" s="1" t="s">
        <v>138</v>
      </c>
      <c r="F37" s="1" t="s">
        <v>140</v>
      </c>
    </row>
    <row r="38" spans="1:6" x14ac:dyDescent="0.35">
      <c r="B38" s="3" t="s">
        <v>237</v>
      </c>
      <c r="C38" s="1" t="s">
        <v>141</v>
      </c>
      <c r="D38" s="1" t="s">
        <v>143</v>
      </c>
      <c r="E38" s="1" t="s">
        <v>142</v>
      </c>
      <c r="F38" s="1" t="s">
        <v>144</v>
      </c>
    </row>
    <row r="39" spans="1:6" ht="29" x14ac:dyDescent="0.35">
      <c r="A39" s="3" t="s">
        <v>246</v>
      </c>
      <c r="C39" s="1" t="s">
        <v>127</v>
      </c>
      <c r="D39" s="1" t="s">
        <v>129</v>
      </c>
      <c r="E39" s="1" t="s">
        <v>128</v>
      </c>
      <c r="F39" s="1" t="s">
        <v>130</v>
      </c>
    </row>
    <row r="40" spans="1:6" ht="29" x14ac:dyDescent="0.35">
      <c r="A40" s="3" t="s">
        <v>248</v>
      </c>
      <c r="C40" s="1" t="s">
        <v>123</v>
      </c>
      <c r="D40" s="1" t="s">
        <v>125</v>
      </c>
      <c r="E40" s="1" t="s">
        <v>124</v>
      </c>
      <c r="F40" s="1" t="s">
        <v>126</v>
      </c>
    </row>
    <row r="41" spans="1:6" x14ac:dyDescent="0.35">
      <c r="A41" s="1" t="s">
        <v>249</v>
      </c>
      <c r="B41" s="3" t="s">
        <v>250</v>
      </c>
      <c r="C41" s="1" t="s">
        <v>11</v>
      </c>
      <c r="D41" s="1" t="s">
        <v>13</v>
      </c>
      <c r="E41" s="1" t="s">
        <v>12</v>
      </c>
      <c r="F41" s="1" t="s">
        <v>14</v>
      </c>
    </row>
    <row r="42" spans="1:6" x14ac:dyDescent="0.35">
      <c r="A42" s="1"/>
      <c r="B42" s="3" t="s">
        <v>254</v>
      </c>
      <c r="C42" s="1" t="s">
        <v>26</v>
      </c>
      <c r="D42" s="1" t="s">
        <v>28</v>
      </c>
      <c r="E42" s="1" t="s">
        <v>27</v>
      </c>
      <c r="F42" s="1" t="s">
        <v>14</v>
      </c>
    </row>
    <row r="43" spans="1:6" x14ac:dyDescent="0.35">
      <c r="A43" s="1"/>
      <c r="B43" s="3" t="s">
        <v>251</v>
      </c>
      <c r="C43" s="1" t="s">
        <v>15</v>
      </c>
      <c r="D43" s="1" t="s">
        <v>17</v>
      </c>
      <c r="E43" s="1" t="s">
        <v>16</v>
      </c>
      <c r="F43" s="1" t="s">
        <v>18</v>
      </c>
    </row>
    <row r="44" spans="1:6" x14ac:dyDescent="0.35">
      <c r="A44" s="1"/>
      <c r="B44" s="3" t="s">
        <v>252</v>
      </c>
      <c r="C44" s="1" t="s">
        <v>19</v>
      </c>
      <c r="D44" s="1" t="s">
        <v>21</v>
      </c>
      <c r="E44" s="1" t="s">
        <v>20</v>
      </c>
      <c r="F44" s="1" t="s">
        <v>17</v>
      </c>
    </row>
    <row r="45" spans="1:6" x14ac:dyDescent="0.35">
      <c r="A45" s="1"/>
      <c r="B45" s="3" t="s">
        <v>253</v>
      </c>
      <c r="C45" s="1" t="s">
        <v>22</v>
      </c>
      <c r="D45" s="1" t="s">
        <v>24</v>
      </c>
      <c r="E45" s="1" t="s">
        <v>23</v>
      </c>
      <c r="F45" s="1" t="s">
        <v>25</v>
      </c>
    </row>
    <row r="46" spans="1:6" x14ac:dyDescent="0.35">
      <c r="A46" s="3" t="s">
        <v>245</v>
      </c>
      <c r="C46" s="1" t="s">
        <v>29</v>
      </c>
      <c r="D46" s="1" t="s">
        <v>31</v>
      </c>
      <c r="E46" s="1" t="s">
        <v>30</v>
      </c>
      <c r="F46" s="1" t="s">
        <v>32</v>
      </c>
    </row>
    <row r="47" spans="1:6" x14ac:dyDescent="0.35">
      <c r="A47" s="3" t="s">
        <v>215</v>
      </c>
      <c r="B47" s="3" t="s">
        <v>218</v>
      </c>
      <c r="C47" s="1" t="s">
        <v>104</v>
      </c>
      <c r="D47" s="1" t="s">
        <v>106</v>
      </c>
      <c r="E47" s="1" t="s">
        <v>105</v>
      </c>
      <c r="F47" s="1" t="s">
        <v>107</v>
      </c>
    </row>
    <row r="48" spans="1:6" x14ac:dyDescent="0.35">
      <c r="B48" s="3" t="s">
        <v>217</v>
      </c>
      <c r="C48" s="1" t="s">
        <v>67</v>
      </c>
      <c r="D48" s="1" t="s">
        <v>109</v>
      </c>
      <c r="E48" s="1" t="s">
        <v>108</v>
      </c>
      <c r="F48" s="1" t="s">
        <v>110</v>
      </c>
    </row>
    <row r="49" spans="1:6" x14ac:dyDescent="0.35">
      <c r="B49" s="3" t="s">
        <v>216</v>
      </c>
      <c r="C49" s="1" t="s">
        <v>111</v>
      </c>
      <c r="D49" s="1" t="s">
        <v>113</v>
      </c>
      <c r="E49" s="1" t="s">
        <v>112</v>
      </c>
      <c r="F49" s="1" t="s">
        <v>114</v>
      </c>
    </row>
    <row r="50" spans="1:6" x14ac:dyDescent="0.35">
      <c r="A50" s="1" t="s">
        <v>247</v>
      </c>
      <c r="B50" s="3" t="s">
        <v>149</v>
      </c>
      <c r="C50" s="1" t="s">
        <v>150</v>
      </c>
      <c r="D50" s="1" t="s">
        <v>152</v>
      </c>
      <c r="E50" s="1" t="s">
        <v>151</v>
      </c>
      <c r="F50" s="1" t="s">
        <v>153</v>
      </c>
    </row>
    <row r="51" spans="1:6" x14ac:dyDescent="0.35">
      <c r="A51" s="1"/>
      <c r="B51" s="3" t="s">
        <v>154</v>
      </c>
      <c r="C51" s="1" t="s">
        <v>155</v>
      </c>
      <c r="D51" s="1" t="s">
        <v>157</v>
      </c>
      <c r="E51" s="1" t="s">
        <v>156</v>
      </c>
      <c r="F51" s="1" t="s">
        <v>158</v>
      </c>
    </row>
    <row r="52" spans="1:6" x14ac:dyDescent="0.35">
      <c r="A52" s="1"/>
      <c r="B52" s="3" t="s">
        <v>159</v>
      </c>
      <c r="C52" s="1" t="s">
        <v>160</v>
      </c>
      <c r="D52" s="1" t="s">
        <v>162</v>
      </c>
      <c r="E52" s="1" t="s">
        <v>161</v>
      </c>
      <c r="F52" s="1" t="s">
        <v>162</v>
      </c>
    </row>
    <row r="53" spans="1:6" x14ac:dyDescent="0.35">
      <c r="A53" s="1"/>
      <c r="B53" s="3" t="s">
        <v>163</v>
      </c>
      <c r="C53" s="1" t="s">
        <v>164</v>
      </c>
      <c r="D53" s="1" t="s">
        <v>166</v>
      </c>
      <c r="E53" s="1" t="s">
        <v>165</v>
      </c>
      <c r="F53" s="1" t="s">
        <v>167</v>
      </c>
    </row>
  </sheetData>
  <mergeCells count="2">
    <mergeCell ref="C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790B-C94C-446D-B2D9-450FA213B261}">
  <dimension ref="A1:F6"/>
  <sheetViews>
    <sheetView tabSelected="1" workbookViewId="0">
      <selection activeCell="A6" sqref="A6"/>
    </sheetView>
  </sheetViews>
  <sheetFormatPr defaultRowHeight="14.5" x14ac:dyDescent="0.35"/>
  <cols>
    <col min="1" max="1" width="16.0898437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3629</v>
      </c>
      <c r="C2">
        <v>62</v>
      </c>
      <c r="D2">
        <v>31</v>
      </c>
      <c r="E2">
        <v>1</v>
      </c>
      <c r="F2">
        <v>3723</v>
      </c>
    </row>
    <row r="3" spans="1:6" x14ac:dyDescent="0.35">
      <c r="A3" t="s">
        <v>6</v>
      </c>
      <c r="B3">
        <v>108</v>
      </c>
      <c r="C3">
        <v>512</v>
      </c>
      <c r="D3">
        <v>21</v>
      </c>
      <c r="E3">
        <v>0</v>
      </c>
      <c r="F3">
        <v>641</v>
      </c>
    </row>
    <row r="4" spans="1:6" x14ac:dyDescent="0.35">
      <c r="A4" t="s">
        <v>7</v>
      </c>
      <c r="B4">
        <v>46</v>
      </c>
      <c r="C4">
        <v>22</v>
      </c>
      <c r="D4">
        <v>185</v>
      </c>
      <c r="E4">
        <v>0</v>
      </c>
      <c r="F4">
        <v>253</v>
      </c>
    </row>
    <row r="5" spans="1:6" x14ac:dyDescent="0.3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9</v>
      </c>
      <c r="B6">
        <v>3783</v>
      </c>
      <c r="C6">
        <v>596</v>
      </c>
      <c r="D6">
        <v>237</v>
      </c>
      <c r="E6">
        <v>1</v>
      </c>
      <c r="F6">
        <v>4617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A0F-8145-46C8-A412-B9F5E05C531E}">
  <dimension ref="A1:I9"/>
  <sheetViews>
    <sheetView workbookViewId="0">
      <selection activeCell="K15" sqref="K15"/>
    </sheetView>
  </sheetViews>
  <sheetFormatPr defaultRowHeight="14.5" x14ac:dyDescent="0.35"/>
  <sheetData>
    <row r="1" spans="1:9" x14ac:dyDescent="0.35"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4</v>
      </c>
    </row>
    <row r="2" spans="1:9" x14ac:dyDescent="0.35">
      <c r="A2" t="s">
        <v>255</v>
      </c>
      <c r="B2">
        <v>2321</v>
      </c>
      <c r="C2">
        <v>208</v>
      </c>
      <c r="D2">
        <v>15</v>
      </c>
      <c r="E2">
        <v>29</v>
      </c>
      <c r="F2">
        <v>133</v>
      </c>
      <c r="G2">
        <v>207</v>
      </c>
      <c r="H2">
        <v>124</v>
      </c>
      <c r="I2">
        <v>3037</v>
      </c>
    </row>
    <row r="3" spans="1:9" x14ac:dyDescent="0.35">
      <c r="A3" t="s">
        <v>256</v>
      </c>
      <c r="B3">
        <v>135</v>
      </c>
      <c r="C3">
        <v>204</v>
      </c>
      <c r="D3">
        <v>10</v>
      </c>
      <c r="E3">
        <v>8</v>
      </c>
      <c r="F3">
        <v>21</v>
      </c>
      <c r="G3">
        <v>86</v>
      </c>
      <c r="H3">
        <v>25</v>
      </c>
      <c r="I3">
        <v>489</v>
      </c>
    </row>
    <row r="4" spans="1:9" x14ac:dyDescent="0.35">
      <c r="A4" t="s">
        <v>257</v>
      </c>
      <c r="B4">
        <v>26</v>
      </c>
      <c r="C4">
        <v>31</v>
      </c>
      <c r="D4">
        <v>102</v>
      </c>
      <c r="E4">
        <v>1</v>
      </c>
      <c r="F4">
        <v>1</v>
      </c>
      <c r="G4">
        <v>10</v>
      </c>
      <c r="H4">
        <v>3</v>
      </c>
      <c r="I4">
        <v>174</v>
      </c>
    </row>
    <row r="5" spans="1:9" x14ac:dyDescent="0.35">
      <c r="A5" t="s">
        <v>258</v>
      </c>
      <c r="B5">
        <v>2</v>
      </c>
      <c r="C5">
        <v>0</v>
      </c>
      <c r="D5">
        <v>0</v>
      </c>
      <c r="E5">
        <v>32</v>
      </c>
      <c r="F5">
        <v>0</v>
      </c>
      <c r="G5">
        <v>7</v>
      </c>
      <c r="H5">
        <v>1</v>
      </c>
      <c r="I5">
        <v>42</v>
      </c>
    </row>
    <row r="6" spans="1:9" x14ac:dyDescent="0.35">
      <c r="A6" t="s">
        <v>259</v>
      </c>
      <c r="B6">
        <v>214</v>
      </c>
      <c r="C6">
        <v>24</v>
      </c>
      <c r="D6">
        <v>2</v>
      </c>
      <c r="E6">
        <v>4</v>
      </c>
      <c r="F6">
        <v>304</v>
      </c>
      <c r="G6">
        <v>37</v>
      </c>
      <c r="H6">
        <v>20</v>
      </c>
      <c r="I6">
        <v>605</v>
      </c>
    </row>
    <row r="7" spans="1:9" x14ac:dyDescent="0.35">
      <c r="A7" t="s">
        <v>260</v>
      </c>
      <c r="B7">
        <v>14</v>
      </c>
      <c r="C7">
        <v>5</v>
      </c>
      <c r="D7">
        <v>0</v>
      </c>
      <c r="E7">
        <v>0</v>
      </c>
      <c r="F7">
        <v>2</v>
      </c>
      <c r="G7">
        <v>10</v>
      </c>
      <c r="H7">
        <v>2</v>
      </c>
      <c r="I7">
        <v>33</v>
      </c>
    </row>
    <row r="8" spans="1:9" x14ac:dyDescent="0.35">
      <c r="A8" t="s">
        <v>261</v>
      </c>
      <c r="B8">
        <v>132</v>
      </c>
      <c r="C8">
        <v>30</v>
      </c>
      <c r="D8">
        <v>9</v>
      </c>
      <c r="E8">
        <v>3</v>
      </c>
      <c r="F8">
        <v>23</v>
      </c>
      <c r="G8">
        <v>25</v>
      </c>
      <c r="H8">
        <v>15</v>
      </c>
      <c r="I8">
        <v>237</v>
      </c>
    </row>
    <row r="9" spans="1:9" x14ac:dyDescent="0.35">
      <c r="A9" t="s">
        <v>9</v>
      </c>
      <c r="B9">
        <v>2844</v>
      </c>
      <c r="C9">
        <v>502</v>
      </c>
      <c r="D9">
        <v>138</v>
      </c>
      <c r="E9">
        <v>77</v>
      </c>
      <c r="F9">
        <v>484</v>
      </c>
      <c r="G9">
        <v>382</v>
      </c>
      <c r="H9">
        <v>190</v>
      </c>
      <c r="I9">
        <v>4617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A871-55DD-4EB7-9171-9A60506E183D}">
  <dimension ref="A1:H8"/>
  <sheetViews>
    <sheetView workbookViewId="0">
      <selection activeCell="I20" sqref="I20"/>
    </sheetView>
  </sheetViews>
  <sheetFormatPr defaultRowHeight="14.5" x14ac:dyDescent="0.35"/>
  <sheetData>
    <row r="1" spans="1:8" x14ac:dyDescent="0.35">
      <c r="B1" t="s">
        <v>275</v>
      </c>
      <c r="C1" t="s">
        <v>276</v>
      </c>
      <c r="D1" t="s">
        <v>277</v>
      </c>
      <c r="E1" t="s">
        <v>278</v>
      </c>
      <c r="F1" t="s">
        <v>279</v>
      </c>
      <c r="G1" t="s">
        <v>3</v>
      </c>
      <c r="H1" t="s">
        <v>4</v>
      </c>
    </row>
    <row r="2" spans="1:8" x14ac:dyDescent="0.35">
      <c r="A2" t="s">
        <v>269</v>
      </c>
      <c r="B2">
        <v>1621</v>
      </c>
      <c r="C2">
        <v>3</v>
      </c>
      <c r="D2">
        <v>4</v>
      </c>
      <c r="E2">
        <v>9</v>
      </c>
      <c r="F2">
        <v>77</v>
      </c>
      <c r="G2">
        <v>0</v>
      </c>
      <c r="H2">
        <v>1714</v>
      </c>
    </row>
    <row r="3" spans="1:8" x14ac:dyDescent="0.35">
      <c r="A3" t="s">
        <v>270</v>
      </c>
      <c r="B3">
        <v>22</v>
      </c>
      <c r="C3">
        <v>1156</v>
      </c>
      <c r="D3">
        <v>0</v>
      </c>
      <c r="E3">
        <v>40</v>
      </c>
      <c r="F3">
        <v>50</v>
      </c>
      <c r="G3">
        <v>0</v>
      </c>
      <c r="H3">
        <v>1268</v>
      </c>
    </row>
    <row r="4" spans="1:8" x14ac:dyDescent="0.35">
      <c r="A4" t="s">
        <v>271</v>
      </c>
      <c r="B4">
        <v>8</v>
      </c>
      <c r="C4">
        <v>1</v>
      </c>
      <c r="D4">
        <v>661</v>
      </c>
      <c r="E4">
        <v>0</v>
      </c>
      <c r="F4">
        <v>0</v>
      </c>
      <c r="G4">
        <v>0</v>
      </c>
      <c r="H4">
        <v>670</v>
      </c>
    </row>
    <row r="5" spans="1:8" x14ac:dyDescent="0.35">
      <c r="A5" t="s">
        <v>272</v>
      </c>
      <c r="B5">
        <v>6</v>
      </c>
      <c r="C5">
        <v>6</v>
      </c>
      <c r="D5">
        <v>0</v>
      </c>
      <c r="E5">
        <v>919</v>
      </c>
      <c r="F5">
        <v>1</v>
      </c>
      <c r="G5">
        <v>0</v>
      </c>
      <c r="H5">
        <v>932</v>
      </c>
    </row>
    <row r="6" spans="1:8" x14ac:dyDescent="0.35">
      <c r="A6" t="s">
        <v>273</v>
      </c>
      <c r="B6">
        <v>1</v>
      </c>
      <c r="C6">
        <v>6</v>
      </c>
      <c r="D6">
        <v>0</v>
      </c>
      <c r="E6">
        <v>0</v>
      </c>
      <c r="F6">
        <v>23</v>
      </c>
      <c r="G6">
        <v>0</v>
      </c>
      <c r="H6">
        <v>30</v>
      </c>
    </row>
    <row r="7" spans="1:8" x14ac:dyDescent="0.35">
      <c r="A7" t="s">
        <v>274</v>
      </c>
      <c r="B7">
        <v>0</v>
      </c>
      <c r="C7">
        <v>1</v>
      </c>
      <c r="D7">
        <v>0</v>
      </c>
      <c r="E7">
        <v>1</v>
      </c>
      <c r="F7">
        <v>1</v>
      </c>
      <c r="G7">
        <v>0</v>
      </c>
      <c r="H7">
        <v>3</v>
      </c>
    </row>
    <row r="8" spans="1:8" x14ac:dyDescent="0.35">
      <c r="A8" t="s">
        <v>9</v>
      </c>
      <c r="B8">
        <v>1658</v>
      </c>
      <c r="C8">
        <v>1173</v>
      </c>
      <c r="D8">
        <v>665</v>
      </c>
      <c r="E8">
        <v>969</v>
      </c>
      <c r="F8">
        <v>152</v>
      </c>
      <c r="G8">
        <v>0</v>
      </c>
      <c r="H8">
        <v>4617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Descriptives</vt:lpstr>
      <vt:lpstr>Urban Rural Status Transitions</vt:lpstr>
      <vt:lpstr>Setting Transitions</vt:lpstr>
      <vt:lpstr>Specialty Transitions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Howard, Annie Green</cp:lastModifiedBy>
  <dcterms:created xsi:type="dcterms:W3CDTF">2026-04-16T06:28:42Z</dcterms:created>
  <dcterms:modified xsi:type="dcterms:W3CDTF">2026-04-16T06:48:20Z</dcterms:modified>
</cp:coreProperties>
</file>